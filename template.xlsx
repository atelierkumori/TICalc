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atelier805-KPU\Koofr\for_build_TICalc\"/>
    </mc:Choice>
  </mc:AlternateContent>
  <xr:revisionPtr revIDLastSave="0" documentId="13_ncr:1_{51E5BC36-CAC5-48EC-80B8-B70578B083D3}" xr6:coauthVersionLast="47" xr6:coauthVersionMax="47" xr10:uidLastSave="{00000000-0000-0000-0000-000000000000}"/>
  <bookViews>
    <workbookView xWindow="-110" yWindow="-110" windowWidth="19420" windowHeight="11500" tabRatio="639" xr2:uid="{00000000-000D-0000-FFFF-FFFF00000000}"/>
  </bookViews>
  <sheets>
    <sheet name="Data" sheetId="4" r:id="rId1"/>
    <sheet name="Sample results 1" sheetId="5" r:id="rId2"/>
    <sheet name="Sample results 2" sheetId="6" r:id="rId3"/>
    <sheet name="Sample results 3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7" l="1"/>
  <c r="R9" i="7"/>
  <c r="Q9" i="7"/>
  <c r="P9" i="7"/>
  <c r="O9" i="7"/>
  <c r="K9" i="7"/>
  <c r="J9" i="7"/>
  <c r="I9" i="7"/>
  <c r="H9" i="7" a="1"/>
  <c r="H9" i="7"/>
  <c r="G9" i="7"/>
  <c r="F9" i="7"/>
  <c r="D9" i="7" a="1"/>
  <c r="D9" i="7"/>
  <c r="B9" i="7"/>
  <c r="A9" i="7"/>
  <c r="S8" i="7"/>
  <c r="R8" i="7"/>
  <c r="Q8" i="7"/>
  <c r="P8" i="7"/>
  <c r="O8" i="7"/>
  <c r="K8" i="7"/>
  <c r="J8" i="7"/>
  <c r="I8" i="7"/>
  <c r="H8" i="7" a="1"/>
  <c r="H8" i="7" s="1"/>
  <c r="G8" i="7"/>
  <c r="F8" i="7"/>
  <c r="D8" i="7"/>
  <c r="B8" i="7"/>
  <c r="A8" i="7"/>
  <c r="S9" i="6"/>
  <c r="R9" i="6"/>
  <c r="Q9" i="6"/>
  <c r="P9" i="6"/>
  <c r="O9" i="6"/>
  <c r="K9" i="6"/>
  <c r="J9" i="6"/>
  <c r="I9" i="6"/>
  <c r="H9" i="6" a="1"/>
  <c r="H9" i="6"/>
  <c r="G9" i="6"/>
  <c r="F9" i="6"/>
  <c r="D9" i="6" a="1"/>
  <c r="D9" i="6"/>
  <c r="B9" i="6"/>
  <c r="A9" i="6"/>
  <c r="S8" i="6"/>
  <c r="R8" i="6"/>
  <c r="Q8" i="6"/>
  <c r="P8" i="6"/>
  <c r="O8" i="6"/>
  <c r="K8" i="6"/>
  <c r="J8" i="6"/>
  <c r="I8" i="6"/>
  <c r="H8" i="6" a="1"/>
  <c r="H8" i="6"/>
  <c r="G8" i="6"/>
  <c r="F8" i="6"/>
  <c r="D8" i="6"/>
  <c r="B8" i="6"/>
  <c r="A8" i="6"/>
  <c r="S9" i="5"/>
  <c r="R9" i="5"/>
  <c r="Q9" i="5"/>
  <c r="P9" i="5"/>
  <c r="O9" i="5"/>
  <c r="K9" i="5"/>
  <c r="J9" i="5"/>
  <c r="I9" i="5"/>
  <c r="H9" i="5" a="1"/>
  <c r="H9" i="5"/>
  <c r="G9" i="5"/>
  <c r="F9" i="5"/>
  <c r="D9" i="5" a="1"/>
  <c r="D9" i="5"/>
  <c r="B9" i="5"/>
  <c r="A9" i="5"/>
  <c r="S8" i="5"/>
  <c r="R8" i="5"/>
  <c r="Q8" i="5"/>
  <c r="P8" i="5"/>
  <c r="O8" i="5"/>
  <c r="K8" i="5"/>
  <c r="J8" i="5"/>
  <c r="I8" i="5"/>
  <c r="H8" i="5" a="1"/>
  <c r="H8" i="5" s="1"/>
  <c r="G8" i="5"/>
  <c r="F8" i="5"/>
  <c r="D8" i="5"/>
  <c r="B8" i="5"/>
  <c r="A8" i="5"/>
  <c r="S9" i="4"/>
  <c r="R9" i="4"/>
  <c r="Q9" i="4"/>
  <c r="P9" i="4"/>
  <c r="O9" i="4"/>
  <c r="K9" i="4"/>
  <c r="J9" i="4"/>
  <c r="I9" i="4"/>
  <c r="H9" i="4" a="1"/>
  <c r="H9" i="4" s="1"/>
  <c r="G9" i="4"/>
  <c r="F9" i="4"/>
  <c r="D9" i="4" a="1"/>
  <c r="D9" i="4" s="1"/>
  <c r="B9" i="4"/>
  <c r="A9" i="4"/>
  <c r="S8" i="4"/>
  <c r="R8" i="4"/>
  <c r="Q8" i="4"/>
  <c r="P8" i="4"/>
  <c r="O8" i="4"/>
  <c r="K8" i="4"/>
  <c r="J8" i="4"/>
  <c r="I8" i="4"/>
  <c r="H8" i="4" a="1"/>
  <c r="H8" i="4" s="1"/>
  <c r="G8" i="4"/>
  <c r="F8" i="4"/>
  <c r="D8" i="4"/>
  <c r="B8" i="4"/>
  <c r="A8" i="4"/>
</calcChain>
</file>

<file path=xl/sharedStrings.xml><?xml version="1.0" encoding="utf-8"?>
<sst xmlns="http://schemas.openxmlformats.org/spreadsheetml/2006/main" count="384" uniqueCount="72">
  <si>
    <t>SETTINGS</t>
  </si>
  <si>
    <t>Include</t>
  </si>
  <si>
    <t>Solar radiation</t>
  </si>
  <si>
    <t>Sky factor at pyranometer [-]</t>
  </si>
  <si>
    <t>Contact area factor [-]</t>
  </si>
  <si>
    <t>N</t>
  </si>
  <si>
    <t xml:space="preserve">Latitude [°] </t>
  </si>
  <si>
    <t>Reference wind height [m]</t>
  </si>
  <si>
    <t>Two-node model</t>
  </si>
  <si>
    <t>Physiological source</t>
  </si>
  <si>
    <t>E</t>
  </si>
  <si>
    <t>Longitude [°]</t>
  </si>
  <si>
    <t>Measured wind height [m]</t>
  </si>
  <si>
    <t>+9</t>
  </si>
  <si>
    <t>UTC: Coordinated Universal Time</t>
  </si>
  <si>
    <t>Kuwabara's formula</t>
  </si>
  <si>
    <t>Estimate hc</t>
  </si>
  <si>
    <t>Input directly</t>
  </si>
  <si>
    <t>Ku: Reflective solar radiation</t>
  </si>
  <si>
    <t>Relative humidity</t>
  </si>
  <si>
    <t>Humidity metric</t>
  </si>
  <si>
    <t>Albedo [-]</t>
  </si>
  <si>
    <t>Ld and Lu</t>
  </si>
  <si>
    <t>Longwave radiation</t>
  </si>
  <si>
    <t>OET</t>
  </si>
  <si>
    <t>OET/ETU</t>
  </si>
  <si>
    <t>ETU</t>
  </si>
  <si>
    <t>ta</t>
  </si>
  <si>
    <t>vel</t>
  </si>
  <si>
    <t>clo</t>
  </si>
  <si>
    <t>met</t>
  </si>
  <si>
    <t>representative air temperature</t>
  </si>
  <si>
    <t>Enter data</t>
  </si>
  <si>
    <t>Results</t>
  </si>
  <si>
    <t>err</t>
  </si>
  <si>
    <t>WCT</t>
  </si>
  <si>
    <t>WBGT</t>
  </si>
  <si>
    <t>UTCI</t>
  </si>
  <si>
    <t>PMV</t>
  </si>
  <si>
    <t>PPD</t>
  </si>
  <si>
    <t>OET
(SET*)</t>
  </si>
  <si>
    <t>EATF</t>
  </si>
  <si>
    <t>TVF</t>
  </si>
  <si>
    <t>SERFL</t>
  </si>
  <si>
    <t>ERFS</t>
  </si>
  <si>
    <t>SEHF</t>
  </si>
  <si>
    <t>SECF</t>
  </si>
  <si>
    <t>[°C]</t>
  </si>
  <si>
    <t>[m/s]</t>
  </si>
  <si>
    <t>[clo]</t>
  </si>
  <si>
    <t>[met]</t>
  </si>
  <si>
    <t>/___</t>
  </si>
  <si>
    <t>___\</t>
  </si>
  <si>
    <t>[-]</t>
  </si>
  <si>
    <t>[%]</t>
  </si>
  <si>
    <t>Exclude</t>
  </si>
  <si>
    <t>Invalid ta (not a number: None)</t>
  </si>
  <si>
    <t>Invalid humidity value (not a number: None)</t>
  </si>
  <si>
    <t>Invalid velocity (not a number: None)</t>
  </si>
  <si>
    <t>Invalid Ld: downward longwave radiation (not a number: None)</t>
  </si>
  <si>
    <t>Invalid Lu: upward longwave radiation (not a number: None)</t>
  </si>
  <si>
    <t>Invalid clo value (not a number: None)</t>
  </si>
  <si>
    <t>Invalid metabolic rate (not a number: None)</t>
  </si>
  <si>
    <t>-</t>
  </si>
  <si>
    <t>Invalid date: '-'</t>
  </si>
  <si>
    <t>Invalid time: None</t>
  </si>
  <si>
    <t>Invalid Kd: Global solar radiation (not a number: None)</t>
  </si>
  <si>
    <t>Invalid Ku: Reflective solar radiation (not a number: None)</t>
  </si>
  <si>
    <t>Invalid Net solar absorptance of cloth (not a number: None)</t>
  </si>
  <si>
    <t>Invalid Net solar absorptance of skin (not a number: None)</t>
  </si>
  <si>
    <t>Invalid sky factor (not a number: None)</t>
  </si>
  <si>
    <t>Mean radiant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</si>
</sst>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h:mm;@"/>
    <numFmt numFmtId="178" formatCode="0.0"/>
    <numFmt numFmtId="179" formatCode="0.000"/>
  </numFmts>
  <fonts count="12">
    <font>
      <sz val="10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family val="3"/>
      <charset val="128"/>
    </font>
    <font>
      <u/>
      <sz val="10"/>
      <color theme="10"/>
      <name val="Osaka"/>
      <family val="3"/>
      <charset val="128"/>
    </font>
    <font>
      <u/>
      <sz val="10"/>
      <color theme="11"/>
      <name val="Osaka"/>
      <family val="3"/>
      <charset val="128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2"/>
      <name val="Arial"/>
      <family val="2"/>
    </font>
    <font>
      <sz val="10"/>
      <color rgb="FFFF0000"/>
      <name val="Arial"/>
      <family val="2"/>
    </font>
    <font>
      <sz val="10"/>
      <color indexed="14"/>
      <name val="Arial"/>
      <family val="2"/>
    </font>
    <font>
      <strike/>
      <sz val="10"/>
      <color indexed="52"/>
      <name val="Arial"/>
      <family val="2"/>
    </font>
    <font>
      <sz val="10"/>
      <name val="Osaka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11" fillId="0" borderId="0"/>
    <xf numFmtId="0" fontId="1" fillId="0" borderId="0">
      <alignment vertical="center"/>
    </xf>
  </cellStyleXfs>
  <cellXfs count="36">
    <xf numFmtId="0" fontId="0" fillId="0" borderId="0" xfId="0"/>
    <xf numFmtId="2" fontId="5" fillId="0" borderId="0" xfId="0" applyNumberFormat="1" applyFont="1"/>
    <xf numFmtId="2" fontId="7" fillId="0" borderId="0" xfId="0" applyNumberFormat="1" applyFont="1"/>
    <xf numFmtId="14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4" borderId="0" xfId="0" applyNumberFormat="1" applyFont="1" applyFill="1"/>
    <xf numFmtId="0" fontId="5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wrapText="1"/>
    </xf>
    <xf numFmtId="2" fontId="5" fillId="3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7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5" fillId="3" borderId="0" xfId="0" applyNumberFormat="1" applyFont="1" applyFill="1" applyAlignment="1">
      <alignment horizontal="right" vertical="center"/>
    </xf>
    <xf numFmtId="2" fontId="10" fillId="0" borderId="0" xfId="0" applyNumberFormat="1" applyFont="1" applyAlignment="1">
      <alignment vertical="center"/>
    </xf>
    <xf numFmtId="2" fontId="5" fillId="4" borderId="0" xfId="0" applyNumberFormat="1" applyFont="1" applyFill="1" applyAlignment="1">
      <alignment wrapText="1"/>
    </xf>
    <xf numFmtId="176" fontId="5" fillId="0" borderId="0" xfId="0" applyNumberFormat="1" applyFont="1"/>
    <xf numFmtId="177" fontId="5" fillId="0" borderId="0" xfId="0" applyNumberFormat="1" applyFont="1" applyAlignment="1">
      <alignment vertical="center"/>
    </xf>
    <xf numFmtId="178" fontId="5" fillId="0" borderId="0" xfId="0" applyNumberFormat="1" applyFont="1"/>
    <xf numFmtId="179" fontId="5" fillId="0" borderId="0" xfId="0" applyNumberFormat="1" applyFont="1"/>
    <xf numFmtId="178" fontId="5" fillId="4" borderId="0" xfId="0" applyNumberFormat="1" applyFont="1" applyFill="1"/>
    <xf numFmtId="179" fontId="5" fillId="4" borderId="0" xfId="0" applyNumberFormat="1" applyFont="1" applyFill="1"/>
    <xf numFmtId="178" fontId="5" fillId="2" borderId="0" xfId="0" applyNumberFormat="1" applyFont="1" applyFill="1" applyAlignment="1">
      <alignment vertical="center"/>
    </xf>
    <xf numFmtId="179" fontId="5" fillId="0" borderId="0" xfId="0" applyNumberFormat="1" applyFont="1" applyAlignment="1">
      <alignment vertical="center"/>
    </xf>
    <xf numFmtId="179" fontId="5" fillId="2" borderId="0" xfId="0" applyNumberFormat="1" applyFont="1" applyFill="1" applyAlignment="1">
      <alignment vertical="center"/>
    </xf>
    <xf numFmtId="178" fontId="5" fillId="3" borderId="0" xfId="0" applyNumberFormat="1" applyFont="1" applyFill="1" applyAlignment="1">
      <alignment vertical="center"/>
    </xf>
    <xf numFmtId="178" fontId="5" fillId="4" borderId="0" xfId="0" applyNumberFormat="1" applyFont="1" applyFill="1" applyAlignment="1">
      <alignment wrapText="1"/>
    </xf>
    <xf numFmtId="178" fontId="8" fillId="4" borderId="0" xfId="0" applyNumberFormat="1" applyFont="1" applyFill="1" applyAlignment="1">
      <alignment wrapText="1"/>
    </xf>
    <xf numFmtId="179" fontId="8" fillId="4" borderId="0" xfId="0" applyNumberFormat="1" applyFont="1" applyFill="1" applyAlignment="1">
      <alignment wrapText="1"/>
    </xf>
    <xf numFmtId="178" fontId="5" fillId="0" borderId="0" xfId="0" applyNumberFormat="1" applyFont="1" applyAlignment="1">
      <alignment vertical="center"/>
    </xf>
  </cellXfs>
  <cellStyles count="5">
    <cellStyle name="ハイパーリンク" xfId="1" builtinId="8" hidden="1"/>
    <cellStyle name="標準" xfId="0" builtinId="0"/>
    <cellStyle name="標準 2" xfId="3" xr:uid="{00000000-0005-0000-0000-000003000000}"/>
    <cellStyle name="標準 3" xfId="4" xr:uid="{00000000-0005-0000-0000-000004000000}"/>
    <cellStyle name="表示済みのハイパーリンク" xfId="2" builtinId="9" hidden="1"/>
  </cellStyles>
  <dxfs count="24"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strike val="0"/>
        <color theme="8" tint="0.79998168889431442"/>
      </font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strike val="0"/>
      </font>
      <numFmt numFmtId="0" formatCode="General"/>
    </dxf>
    <dxf>
      <font>
        <strike val="0"/>
        <color theme="8" tint="0.79998168889431442"/>
      </font>
      <fill>
        <patternFill>
          <bgColor theme="8" tint="0.79998168889431442"/>
        </patternFill>
      </fill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strike val="0"/>
        <color theme="8" tint="0.79998168889431442"/>
      </font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strike val="0"/>
      </font>
      <numFmt numFmtId="0" formatCode="General"/>
    </dxf>
    <dxf>
      <font>
        <strike val="0"/>
        <color theme="8" tint="0.79998168889431442"/>
      </font>
      <fill>
        <patternFill>
          <bgColor theme="8" tint="0.79998168889431442"/>
        </patternFill>
      </fill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strike val="0"/>
        <color theme="8" tint="0.79998168889431442"/>
      </font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strike val="0"/>
      </font>
      <numFmt numFmtId="0" formatCode="General"/>
    </dxf>
    <dxf>
      <font>
        <strike val="0"/>
        <color theme="8" tint="0.79998168889431442"/>
      </font>
      <fill>
        <patternFill>
          <bgColor theme="8" tint="0.79998168889431442"/>
        </patternFill>
      </fill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strike val="0"/>
        <color theme="8" tint="0.79998168889431442"/>
      </font>
    </dxf>
    <dxf>
      <font>
        <color theme="8" tint="0.79998168889431442"/>
      </font>
      <fill>
        <patternFill patternType="solid">
          <bgColor theme="8" tint="0.79998168889431442"/>
        </patternFill>
      </fill>
    </dxf>
    <dxf>
      <font>
        <strike val="0"/>
      </font>
      <numFmt numFmtId="0" formatCode="General"/>
    </dxf>
    <dxf>
      <font>
        <strike val="0"/>
        <color theme="8" tint="0.79998168889431442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153"/>
  <sheetViews>
    <sheetView tabSelected="1" zoomScale="70" zoomScaleNormal="70" workbookViewId="0">
      <pane ySplit="9" topLeftCell="A10" activePane="bottomLeft" state="frozenSplit"/>
      <selection pane="bottomLeft" activeCell="Y18" sqref="Y18"/>
    </sheetView>
  </sheetViews>
  <sheetFormatPr defaultColWidth="10.69921875" defaultRowHeight="13" customHeight="1"/>
  <cols>
    <col min="1" max="1" width="12.69921875" style="22" customWidth="1"/>
    <col min="2" max="2" width="12.69921875" style="23" customWidth="1"/>
    <col min="3" max="4" width="12.69921875" style="24" customWidth="1"/>
    <col min="5" max="5" width="12.69921875" style="1" customWidth="1"/>
    <col min="6" max="9" width="12.69921875" style="24" customWidth="1"/>
    <col min="10" max="11" width="12.69921875" style="25" customWidth="1"/>
    <col min="12" max="19" width="12.69921875" style="1" customWidth="1"/>
    <col min="20" max="16384" width="10.69921875" style="1"/>
  </cols>
  <sheetData>
    <row r="1" spans="1:43" ht="13" customHeight="1">
      <c r="A1" s="5" t="s">
        <v>0</v>
      </c>
      <c r="B1" s="5"/>
      <c r="C1" s="26"/>
      <c r="D1" s="26"/>
      <c r="E1" s="5"/>
      <c r="F1" s="26"/>
      <c r="G1" s="26"/>
      <c r="H1" s="26"/>
      <c r="I1" s="26"/>
      <c r="J1" s="27"/>
      <c r="K1" s="27"/>
      <c r="L1" s="5"/>
      <c r="M1" s="5"/>
      <c r="N1" s="5"/>
      <c r="O1" s="5"/>
      <c r="P1" s="5"/>
      <c r="Q1" s="5"/>
      <c r="R1" s="5"/>
      <c r="S1" s="5"/>
      <c r="T1" s="2"/>
      <c r="Z1" s="2"/>
    </row>
    <row r="2" spans="1:43" s="4" customFormat="1" ht="13" customHeight="1">
      <c r="A2" s="15" t="s">
        <v>1</v>
      </c>
      <c r="B2" s="16"/>
      <c r="C2" s="28" t="s">
        <v>2</v>
      </c>
      <c r="D2" s="28"/>
      <c r="E2" s="16"/>
      <c r="F2" s="28"/>
      <c r="G2" s="29">
        <v>0.97</v>
      </c>
      <c r="H2" s="28"/>
      <c r="I2" s="28" t="s">
        <v>3</v>
      </c>
      <c r="J2" s="30"/>
      <c r="K2" s="30"/>
      <c r="L2" s="29"/>
      <c r="M2" s="16"/>
      <c r="N2" s="16" t="s">
        <v>4</v>
      </c>
      <c r="O2" s="16"/>
      <c r="P2" s="16"/>
      <c r="Q2" s="16"/>
      <c r="R2" s="16"/>
      <c r="S2" s="16"/>
      <c r="T2" s="17"/>
      <c r="Z2" s="17"/>
      <c r="AD2" s="18"/>
      <c r="AK2" s="18"/>
    </row>
    <row r="3" spans="1:43" s="4" customFormat="1" ht="13" customHeight="1">
      <c r="A3" s="4">
        <v>35</v>
      </c>
      <c r="B3" s="15" t="s">
        <v>5</v>
      </c>
      <c r="C3" s="28" t="s">
        <v>6</v>
      </c>
      <c r="D3" s="28"/>
      <c r="E3" s="16"/>
      <c r="F3" s="28"/>
      <c r="G3" s="4">
        <v>1.2</v>
      </c>
      <c r="H3" s="28"/>
      <c r="I3" s="28" t="s">
        <v>7</v>
      </c>
      <c r="J3" s="30"/>
      <c r="K3" s="30"/>
      <c r="L3" s="15" t="s">
        <v>8</v>
      </c>
      <c r="M3" s="16"/>
      <c r="N3" s="16" t="s">
        <v>9</v>
      </c>
      <c r="O3" s="16"/>
      <c r="P3" s="16"/>
      <c r="Q3" s="16"/>
      <c r="R3" s="16"/>
      <c r="S3" s="16"/>
      <c r="T3" s="17"/>
      <c r="Z3" s="17"/>
      <c r="AD3" s="18"/>
      <c r="AK3" s="18"/>
    </row>
    <row r="4" spans="1:43" s="4" customFormat="1" ht="13" customHeight="1">
      <c r="A4" s="4">
        <v>135</v>
      </c>
      <c r="B4" s="15" t="s">
        <v>10</v>
      </c>
      <c r="C4" s="28" t="s">
        <v>11</v>
      </c>
      <c r="D4" s="28"/>
      <c r="E4" s="16"/>
      <c r="F4" s="28"/>
      <c r="G4" s="4">
        <v>10</v>
      </c>
      <c r="H4" s="28"/>
      <c r="I4" s="28" t="s">
        <v>12</v>
      </c>
      <c r="J4" s="30"/>
      <c r="K4" s="30"/>
      <c r="L4" s="16"/>
      <c r="M4" s="16"/>
      <c r="N4" s="16"/>
      <c r="O4" s="16"/>
      <c r="P4" s="16"/>
      <c r="Q4" s="16"/>
      <c r="R4" s="16"/>
      <c r="S4" s="16"/>
      <c r="T4" s="17"/>
      <c r="Z4" s="17"/>
      <c r="AD4" s="18"/>
      <c r="AK4" s="18"/>
    </row>
    <row r="5" spans="1:43" s="4" customFormat="1" ht="13" customHeight="1">
      <c r="A5" s="19" t="s">
        <v>13</v>
      </c>
      <c r="B5" s="16"/>
      <c r="C5" s="28" t="s">
        <v>14</v>
      </c>
      <c r="D5" s="28"/>
      <c r="E5" s="16"/>
      <c r="F5" s="28"/>
      <c r="G5" s="31" t="s">
        <v>15</v>
      </c>
      <c r="H5" s="28"/>
      <c r="I5" s="28" t="s">
        <v>16</v>
      </c>
      <c r="J5" s="30"/>
      <c r="K5" s="30"/>
      <c r="L5" s="16"/>
      <c r="M5" s="16"/>
      <c r="N5" s="16"/>
      <c r="O5" s="16"/>
      <c r="P5" s="16"/>
      <c r="Q5" s="16"/>
      <c r="R5" s="16"/>
      <c r="S5" s="16"/>
      <c r="T5" s="17"/>
      <c r="Z5" s="20"/>
    </row>
    <row r="6" spans="1:43" s="4" customFormat="1" ht="13" customHeight="1">
      <c r="A6" s="15" t="s">
        <v>17</v>
      </c>
      <c r="B6" s="16"/>
      <c r="C6" s="28" t="s">
        <v>18</v>
      </c>
      <c r="D6" s="28"/>
      <c r="E6" s="16"/>
      <c r="F6" s="28"/>
      <c r="G6" s="31" t="s">
        <v>19</v>
      </c>
      <c r="H6" s="28"/>
      <c r="I6" s="28" t="s">
        <v>20</v>
      </c>
      <c r="J6" s="30"/>
      <c r="K6" s="30"/>
      <c r="L6" s="16"/>
      <c r="M6" s="16"/>
      <c r="N6" s="16"/>
      <c r="O6" s="16"/>
      <c r="P6" s="16"/>
      <c r="Q6" s="16"/>
      <c r="R6" s="16"/>
      <c r="S6" s="16"/>
      <c r="T6" s="17"/>
      <c r="Z6" s="20"/>
    </row>
    <row r="7" spans="1:43" s="4" customFormat="1" ht="13" customHeight="1">
      <c r="A7" s="4">
        <v>0.15</v>
      </c>
      <c r="B7" s="16"/>
      <c r="C7" s="28" t="s">
        <v>21</v>
      </c>
      <c r="D7" s="28"/>
      <c r="E7" s="16"/>
      <c r="F7" s="28"/>
      <c r="G7" s="31" t="s">
        <v>22</v>
      </c>
      <c r="H7" s="28"/>
      <c r="I7" s="28" t="s">
        <v>23</v>
      </c>
      <c r="J7" s="30"/>
      <c r="K7" s="30"/>
      <c r="L7" s="16"/>
      <c r="M7" s="16"/>
      <c r="N7" s="16"/>
      <c r="O7" s="16"/>
      <c r="P7" s="16"/>
      <c r="Q7" s="16"/>
      <c r="R7" s="16"/>
      <c r="S7" s="16"/>
      <c r="T7" s="17"/>
      <c r="U7" s="17"/>
      <c r="X7" s="17"/>
      <c r="Z7" s="20"/>
      <c r="AD7" s="4" t="s">
        <v>24</v>
      </c>
      <c r="AE7" s="4" t="s">
        <v>24</v>
      </c>
      <c r="AF7" s="4" t="s">
        <v>24</v>
      </c>
      <c r="AG7" s="4" t="s">
        <v>24</v>
      </c>
      <c r="AH7" s="4" t="s">
        <v>24</v>
      </c>
      <c r="AI7" s="4" t="s">
        <v>24</v>
      </c>
      <c r="AJ7" s="4" t="s">
        <v>25</v>
      </c>
      <c r="AL7" s="4" t="s">
        <v>26</v>
      </c>
      <c r="AM7" s="4" t="s">
        <v>26</v>
      </c>
      <c r="AN7" s="4" t="s">
        <v>26</v>
      </c>
      <c r="AO7" s="4" t="s">
        <v>26</v>
      </c>
      <c r="AP7" s="4" t="s">
        <v>26</v>
      </c>
      <c r="AQ7" s="4" t="s">
        <v>26</v>
      </c>
    </row>
    <row r="8" spans="1:43" s="11" customFormat="1" ht="42" customHeight="1">
      <c r="A8" s="7" t="str">
        <f>IF(A2="Include","date","blank")</f>
        <v>date</v>
      </c>
      <c r="B8" s="7" t="str">
        <f>IF(A2="Include","time","blank")</f>
        <v>time</v>
      </c>
      <c r="C8" s="32" t="s">
        <v>27</v>
      </c>
      <c r="D8" s="33" t="str">
        <f>G6</f>
        <v>Relative humidity</v>
      </c>
      <c r="E8" s="21" t="s">
        <v>28</v>
      </c>
      <c r="F8" s="33" t="str">
        <f>IF(A2="Include","Kd","blank")</f>
        <v>Kd</v>
      </c>
      <c r="G8" s="33" t="str">
        <f>IF(AND(A2="Include",A6="Input directly"),"Ku","blank")</f>
        <v>Ku</v>
      </c>
      <c r="H8" s="33" t="str">
        <f t="array" ref="H8">_xlfn.IFS(G7="Ld and Lu","Ld",G7="Mean radiant temp","tr")</f>
        <v>Ld</v>
      </c>
      <c r="I8" s="33" t="str">
        <f>IF(G7="Ld and Lu","Lu","blank")</f>
        <v>Lu</v>
      </c>
      <c r="J8" s="34" t="str">
        <f>IF(A2="Include","Net solar absorptance of cloth: αcln","blank")</f>
        <v>Net solar absorptance of cloth: αcln</v>
      </c>
      <c r="K8" s="34" t="str">
        <f>IF(A2="Include","Net solar absorptance of skin: αskn","blank")</f>
        <v>Net solar absorptance of skin: αskn</v>
      </c>
      <c r="L8" s="6" t="s">
        <v>29</v>
      </c>
      <c r="M8" s="6" t="s">
        <v>30</v>
      </c>
      <c r="N8" s="6" t="s">
        <v>31</v>
      </c>
      <c r="O8" s="7" t="str">
        <f>IF(A2="Include","sky factor","blank")</f>
        <v>sky factor</v>
      </c>
      <c r="P8" s="7" t="str">
        <f>IF(A2="Include","Is the place shaded? (y/n) ","blank")</f>
        <v xml:space="preserve">Is the place shaded? (y/n) </v>
      </c>
      <c r="Q8" s="7" t="str">
        <f>IF(L3="Input directly","tsk","blank")</f>
        <v>blank</v>
      </c>
      <c r="R8" s="7" t="str">
        <f>IF(L3="Input directly","wettedness","blank")</f>
        <v>blank</v>
      </c>
      <c r="S8" s="7" t="str">
        <f>IF(L2=0,"blank","Heat loss at contact surface")</f>
        <v>blank</v>
      </c>
      <c r="T8" s="8" t="s">
        <v>32</v>
      </c>
      <c r="U8" s="9"/>
      <c r="V8" s="10" t="s">
        <v>33</v>
      </c>
      <c r="W8" s="11" t="s">
        <v>34</v>
      </c>
      <c r="X8" s="11" t="s">
        <v>35</v>
      </c>
      <c r="Y8" s="11" t="s">
        <v>36</v>
      </c>
      <c r="Z8" s="11" t="s">
        <v>37</v>
      </c>
      <c r="AA8" s="11" t="s">
        <v>38</v>
      </c>
      <c r="AB8" s="11" t="s">
        <v>39</v>
      </c>
      <c r="AC8" s="14" t="s">
        <v>40</v>
      </c>
      <c r="AD8" s="11" t="s">
        <v>41</v>
      </c>
      <c r="AE8" s="11" t="s">
        <v>42</v>
      </c>
      <c r="AF8" s="11" t="s">
        <v>43</v>
      </c>
      <c r="AG8" s="11" t="s">
        <v>44</v>
      </c>
      <c r="AH8" s="11" t="s">
        <v>45</v>
      </c>
      <c r="AI8" s="11" t="s">
        <v>46</v>
      </c>
      <c r="AJ8" s="14" t="s">
        <v>31</v>
      </c>
      <c r="AK8" s="11" t="s">
        <v>26</v>
      </c>
      <c r="AL8" s="11" t="s">
        <v>41</v>
      </c>
      <c r="AM8" s="11" t="s">
        <v>42</v>
      </c>
      <c r="AN8" s="11" t="s">
        <v>43</v>
      </c>
      <c r="AO8" s="11" t="s">
        <v>44</v>
      </c>
      <c r="AP8" s="11" t="s">
        <v>45</v>
      </c>
      <c r="AQ8" s="11" t="s">
        <v>46</v>
      </c>
    </row>
    <row r="9" spans="1:43" s="11" customFormat="1" ht="13" customHeight="1">
      <c r="A9" s="7" t="str">
        <f>IF(A2="Include","[ymd]","")</f>
        <v>[ymd]</v>
      </c>
      <c r="B9" s="7" t="str">
        <f>IF(A2="Include","[h:m:s]","")</f>
        <v>[h:m:s]</v>
      </c>
      <c r="C9" s="32" t="s">
        <v>47</v>
      </c>
      <c r="D9" s="33" t="str">
        <f t="array" ref="D9">_xlfn.IFS(G6="Relative humidity","[%]",G6="Wet-bulb temp","[°C]",G6="Humidity ratio","[g/kg(DA)]",G6="Vapor pressure","[hPa]")</f>
        <v>[%]</v>
      </c>
      <c r="E9" s="21" t="s">
        <v>48</v>
      </c>
      <c r="F9" s="33" t="str">
        <f>IF(A2="Include","[W/m2]","")</f>
        <v>[W/m2]</v>
      </c>
      <c r="G9" s="33" t="str">
        <f>IF(AND(A2="Include",A6="Input directly"),"[W/m2]","")</f>
        <v>[W/m2]</v>
      </c>
      <c r="H9" s="33" t="str">
        <f t="array" ref="H9">_xlfn.IFS(G7="Ld and Lu","[W/m2]",G7="Mean radiant temp","[°C]")</f>
        <v>[W/m2]</v>
      </c>
      <c r="I9" s="33" t="str">
        <f>IF(G7="Ld and Lu","[W/m2]","")</f>
        <v>[W/m2]</v>
      </c>
      <c r="J9" s="34" t="str">
        <f>IF(A2="Include","[-]","")</f>
        <v>[-]</v>
      </c>
      <c r="K9" s="34" t="str">
        <f>IF(A2="Include","[-]","")</f>
        <v>[-]</v>
      </c>
      <c r="L9" s="6" t="s">
        <v>49</v>
      </c>
      <c r="M9" s="6" t="s">
        <v>50</v>
      </c>
      <c r="N9" s="6" t="s">
        <v>47</v>
      </c>
      <c r="O9" s="7" t="str">
        <f>IF(A2="Include","[-]","")</f>
        <v>[-]</v>
      </c>
      <c r="P9" s="7" t="str">
        <f>IF(A2="Include","[-]","")</f>
        <v>[-]</v>
      </c>
      <c r="Q9" s="7" t="str">
        <f>IF(L3="Input directly","[°C]","")</f>
        <v/>
      </c>
      <c r="R9" s="7" t="str">
        <f>IF(L3="Input directly","[-]","")</f>
        <v/>
      </c>
      <c r="S9" s="7" t="str">
        <f>IF(L2=0,"","[W/m2]")</f>
        <v/>
      </c>
      <c r="T9" s="12" t="s">
        <v>51</v>
      </c>
      <c r="V9" s="13" t="s">
        <v>52</v>
      </c>
      <c r="W9" s="13"/>
      <c r="X9" s="11" t="s">
        <v>47</v>
      </c>
      <c r="Y9" s="11" t="s">
        <v>47</v>
      </c>
      <c r="Z9" s="11" t="s">
        <v>47</v>
      </c>
      <c r="AA9" s="11" t="s">
        <v>53</v>
      </c>
      <c r="AB9" s="11" t="s">
        <v>54</v>
      </c>
      <c r="AC9" s="11" t="s">
        <v>47</v>
      </c>
      <c r="AD9" s="11" t="s">
        <v>47</v>
      </c>
      <c r="AE9" s="11" t="s">
        <v>47</v>
      </c>
      <c r="AF9" s="11" t="s">
        <v>47</v>
      </c>
      <c r="AG9" s="11" t="s">
        <v>47</v>
      </c>
      <c r="AH9" s="11" t="s">
        <v>47</v>
      </c>
      <c r="AI9" s="11" t="s">
        <v>47</v>
      </c>
      <c r="AJ9" s="11" t="s">
        <v>47</v>
      </c>
      <c r="AK9" s="11" t="s">
        <v>47</v>
      </c>
      <c r="AL9" s="11" t="s">
        <v>47</v>
      </c>
      <c r="AM9" s="11" t="s">
        <v>47</v>
      </c>
      <c r="AN9" s="11" t="s">
        <v>47</v>
      </c>
      <c r="AO9" s="11" t="s">
        <v>47</v>
      </c>
      <c r="AP9" s="11" t="s">
        <v>47</v>
      </c>
      <c r="AQ9" s="11" t="s">
        <v>47</v>
      </c>
    </row>
    <row r="10" spans="1:43" ht="13" customHeight="1">
      <c r="A10" s="22">
        <v>41196</v>
      </c>
      <c r="B10" s="23">
        <v>0</v>
      </c>
      <c r="C10" s="24">
        <v>9.8000000000000007</v>
      </c>
      <c r="D10" s="24">
        <v>68.7</v>
      </c>
      <c r="E10" s="1">
        <v>0.3</v>
      </c>
      <c r="F10" s="24">
        <v>0</v>
      </c>
      <c r="G10" s="24">
        <v>0</v>
      </c>
      <c r="H10" s="24">
        <v>269.82775180529472</v>
      </c>
      <c r="I10" s="24">
        <v>354.113466091009</v>
      </c>
      <c r="J10" s="25">
        <v>0.60899999999999999</v>
      </c>
      <c r="K10" s="25">
        <v>4.3999999999999997E-2</v>
      </c>
      <c r="L10" s="1">
        <v>0.6</v>
      </c>
      <c r="M10" s="1">
        <v>2</v>
      </c>
      <c r="O10" s="25">
        <v>0.97</v>
      </c>
    </row>
    <row r="11" spans="1:43" ht="13" customHeight="1">
      <c r="A11" s="22">
        <v>41196</v>
      </c>
      <c r="B11" s="23">
        <v>6.9444444444444441E-3</v>
      </c>
      <c r="C11" s="24">
        <v>9.6999999999999993</v>
      </c>
      <c r="D11" s="24">
        <v>69.400000000000006</v>
      </c>
      <c r="E11" s="1">
        <v>0.4</v>
      </c>
      <c r="F11" s="24">
        <v>0</v>
      </c>
      <c r="G11" s="24">
        <v>0</v>
      </c>
      <c r="H11" s="24">
        <v>273.11291462152758</v>
      </c>
      <c r="I11" s="24">
        <v>355.97005747867041</v>
      </c>
      <c r="J11" s="25">
        <v>0.60899999999999999</v>
      </c>
      <c r="K11" s="25">
        <v>4.3999999999999997E-2</v>
      </c>
      <c r="L11" s="1">
        <v>0.6</v>
      </c>
      <c r="M11" s="1">
        <v>2</v>
      </c>
      <c r="O11" s="25">
        <v>0.97</v>
      </c>
    </row>
    <row r="12" spans="1:43" ht="13" customHeight="1">
      <c r="A12" s="22">
        <v>41196</v>
      </c>
      <c r="B12" s="23">
        <v>1.388888888888889E-2</v>
      </c>
      <c r="C12" s="24">
        <v>9.5</v>
      </c>
      <c r="D12" s="24">
        <v>72.099999999999994</v>
      </c>
      <c r="E12" s="1">
        <v>0.2</v>
      </c>
      <c r="F12" s="24">
        <v>0</v>
      </c>
      <c r="G12" s="24">
        <v>0</v>
      </c>
      <c r="H12" s="24">
        <v>273.11291462152758</v>
      </c>
      <c r="I12" s="24">
        <v>353.11291462152752</v>
      </c>
      <c r="J12" s="25">
        <v>0.60899999999999999</v>
      </c>
      <c r="K12" s="25">
        <v>4.3999999999999997E-2</v>
      </c>
      <c r="L12" s="1">
        <v>0.6</v>
      </c>
      <c r="M12" s="1">
        <v>2</v>
      </c>
      <c r="O12" s="25">
        <v>0.97</v>
      </c>
    </row>
    <row r="13" spans="1:43" ht="13" customHeight="1">
      <c r="A13" s="22">
        <v>41196</v>
      </c>
      <c r="B13" s="23">
        <v>2.0833333333333329E-2</v>
      </c>
      <c r="C13" s="24">
        <v>9.4</v>
      </c>
      <c r="D13" s="24">
        <v>72.099999999999994</v>
      </c>
      <c r="E13" s="1">
        <v>0.2</v>
      </c>
      <c r="F13" s="24">
        <v>0</v>
      </c>
      <c r="G13" s="24">
        <v>0</v>
      </c>
      <c r="H13" s="24">
        <v>274.97164508144027</v>
      </c>
      <c r="I13" s="24">
        <v>353.54307365286888</v>
      </c>
      <c r="J13" s="25">
        <v>0.60899999999999999</v>
      </c>
      <c r="K13" s="25">
        <v>4.3999999999999997E-2</v>
      </c>
      <c r="L13" s="1">
        <v>0.6</v>
      </c>
      <c r="M13" s="1">
        <v>2</v>
      </c>
      <c r="O13" s="25">
        <v>0.97</v>
      </c>
    </row>
    <row r="14" spans="1:43" ht="13" customHeight="1">
      <c r="A14" s="22">
        <v>41196</v>
      </c>
      <c r="B14" s="23">
        <v>2.777777777777778E-2</v>
      </c>
      <c r="C14" s="24">
        <v>9.4</v>
      </c>
      <c r="D14" s="24">
        <v>72.599999999999994</v>
      </c>
      <c r="E14" s="1">
        <v>0.2</v>
      </c>
      <c r="F14" s="24">
        <v>1.428571428571429</v>
      </c>
      <c r="G14" s="24">
        <v>0</v>
      </c>
      <c r="H14" s="24">
        <v>269.25735936715461</v>
      </c>
      <c r="I14" s="24">
        <v>349.25735936715461</v>
      </c>
      <c r="J14" s="25">
        <v>0.60899999999999999</v>
      </c>
      <c r="K14" s="25">
        <v>4.3999999999999997E-2</v>
      </c>
      <c r="L14" s="1">
        <v>0.6</v>
      </c>
      <c r="M14" s="1">
        <v>2</v>
      </c>
      <c r="O14" s="25">
        <v>0.97</v>
      </c>
    </row>
    <row r="15" spans="1:43" ht="13" customHeight="1">
      <c r="A15" s="22">
        <v>41196</v>
      </c>
      <c r="B15" s="23">
        <v>3.4722222222222217E-2</v>
      </c>
      <c r="C15" s="24">
        <v>9.3000000000000007</v>
      </c>
      <c r="D15" s="24">
        <v>73.599999999999994</v>
      </c>
      <c r="E15" s="1">
        <v>0.2</v>
      </c>
      <c r="F15" s="24">
        <v>0</v>
      </c>
      <c r="G15" s="24">
        <v>0</v>
      </c>
      <c r="H15" s="24">
        <v>271.68434319295608</v>
      </c>
      <c r="I15" s="24">
        <v>351.68434319295608</v>
      </c>
      <c r="J15" s="25">
        <v>0.60899999999999999</v>
      </c>
      <c r="K15" s="25">
        <v>4.3999999999999997E-2</v>
      </c>
      <c r="L15" s="1">
        <v>0.6</v>
      </c>
      <c r="M15" s="1">
        <v>2</v>
      </c>
      <c r="O15" s="25">
        <v>0.97</v>
      </c>
    </row>
    <row r="16" spans="1:43" ht="13" customHeight="1">
      <c r="A16" s="22">
        <v>41196</v>
      </c>
      <c r="B16" s="23">
        <v>4.1666666666666657E-2</v>
      </c>
      <c r="C16" s="24">
        <v>9.8000000000000007</v>
      </c>
      <c r="D16" s="24">
        <v>72.8</v>
      </c>
      <c r="E16" s="1">
        <v>0.4</v>
      </c>
      <c r="F16" s="24">
        <v>0</v>
      </c>
      <c r="G16" s="24">
        <v>0</v>
      </c>
      <c r="H16" s="24">
        <v>270.75577992432699</v>
      </c>
      <c r="I16" s="24">
        <v>352.18435135289849</v>
      </c>
      <c r="J16" s="25">
        <v>0.60899999999999999</v>
      </c>
      <c r="K16" s="25">
        <v>4.3999999999999997E-2</v>
      </c>
      <c r="L16" s="1">
        <v>0.6</v>
      </c>
      <c r="M16" s="1">
        <v>2</v>
      </c>
      <c r="O16" s="25">
        <v>0.97</v>
      </c>
    </row>
    <row r="17" spans="1:15" ht="13" customHeight="1">
      <c r="A17" s="22">
        <v>41196</v>
      </c>
      <c r="B17" s="23">
        <v>4.8611111111111112E-2</v>
      </c>
      <c r="C17" s="24">
        <v>9.8000000000000007</v>
      </c>
      <c r="D17" s="24">
        <v>71.7</v>
      </c>
      <c r="E17" s="1">
        <v>0.2</v>
      </c>
      <c r="F17" s="24">
        <v>0</v>
      </c>
      <c r="G17" s="24">
        <v>0</v>
      </c>
      <c r="H17" s="24">
        <v>269.75629837247152</v>
      </c>
      <c r="I17" s="24">
        <v>349.75629837247152</v>
      </c>
      <c r="J17" s="25">
        <v>0.60899999999999999</v>
      </c>
      <c r="K17" s="25">
        <v>4.3999999999999997E-2</v>
      </c>
      <c r="L17" s="1">
        <v>0.6</v>
      </c>
      <c r="M17" s="1">
        <v>2</v>
      </c>
      <c r="O17" s="25">
        <v>0.97</v>
      </c>
    </row>
    <row r="18" spans="1:15" ht="13" customHeight="1">
      <c r="A18" s="22">
        <v>41196</v>
      </c>
      <c r="B18" s="23">
        <v>5.5555555555555552E-2</v>
      </c>
      <c r="C18" s="24">
        <v>9.4</v>
      </c>
      <c r="D18" s="24">
        <v>74.099999999999994</v>
      </c>
      <c r="E18" s="1">
        <v>0.3</v>
      </c>
      <c r="F18" s="24">
        <v>0</v>
      </c>
      <c r="G18" s="24">
        <v>0</v>
      </c>
      <c r="H18" s="24">
        <v>267.76374485850249</v>
      </c>
      <c r="I18" s="24">
        <v>347.76374485850249</v>
      </c>
      <c r="J18" s="25">
        <v>0.60899999999999999</v>
      </c>
      <c r="K18" s="25">
        <v>4.3999999999999997E-2</v>
      </c>
      <c r="L18" s="1">
        <v>0.6</v>
      </c>
      <c r="M18" s="1">
        <v>2</v>
      </c>
      <c r="O18" s="25">
        <v>0.97</v>
      </c>
    </row>
    <row r="19" spans="1:15" ht="13" customHeight="1">
      <c r="A19" s="22">
        <v>41196</v>
      </c>
      <c r="B19" s="23">
        <v>6.25E-2</v>
      </c>
      <c r="C19" s="24">
        <v>8.9</v>
      </c>
      <c r="D19" s="24">
        <v>75.3</v>
      </c>
      <c r="E19" s="1">
        <v>0.2</v>
      </c>
      <c r="F19" s="24">
        <v>0</v>
      </c>
      <c r="G19" s="24">
        <v>0</v>
      </c>
      <c r="H19" s="24">
        <v>271.05638108463103</v>
      </c>
      <c r="I19" s="24">
        <v>346.77066679891669</v>
      </c>
      <c r="J19" s="25">
        <v>0.60899999999999999</v>
      </c>
      <c r="K19" s="25">
        <v>4.3999999999999997E-2</v>
      </c>
      <c r="L19" s="1">
        <v>0.6</v>
      </c>
      <c r="M19" s="1">
        <v>2</v>
      </c>
      <c r="O19" s="25">
        <v>0.97</v>
      </c>
    </row>
    <row r="20" spans="1:15" ht="13" customHeight="1">
      <c r="A20" s="22">
        <v>41196</v>
      </c>
      <c r="B20" s="23">
        <v>6.9444444444444448E-2</v>
      </c>
      <c r="C20" s="24">
        <v>8.9</v>
      </c>
      <c r="D20" s="24">
        <v>77.099999999999994</v>
      </c>
      <c r="E20" s="1">
        <v>0.3</v>
      </c>
      <c r="F20" s="24">
        <v>2.8571428571428572</v>
      </c>
      <c r="G20" s="24">
        <v>0</v>
      </c>
      <c r="H20" s="24">
        <v>272.9812253022572</v>
      </c>
      <c r="I20" s="24">
        <v>351.55265387368581</v>
      </c>
      <c r="J20" s="25">
        <v>0.60899999999999999</v>
      </c>
      <c r="K20" s="25">
        <v>4.3999999999999997E-2</v>
      </c>
      <c r="L20" s="1">
        <v>0.6</v>
      </c>
      <c r="M20" s="1">
        <v>2</v>
      </c>
      <c r="O20" s="25">
        <v>0.97</v>
      </c>
    </row>
    <row r="21" spans="1:15" ht="13" customHeight="1">
      <c r="A21" s="22">
        <v>41196</v>
      </c>
      <c r="B21" s="23">
        <v>7.6388888888888895E-2</v>
      </c>
      <c r="C21" s="24">
        <v>9</v>
      </c>
      <c r="D21" s="24">
        <v>76.3</v>
      </c>
      <c r="E21" s="1">
        <v>0.3</v>
      </c>
      <c r="F21" s="24">
        <v>0</v>
      </c>
      <c r="G21" s="24">
        <v>0</v>
      </c>
      <c r="H21" s="24">
        <v>271.05638108463103</v>
      </c>
      <c r="I21" s="24">
        <v>349.62780965605953</v>
      </c>
      <c r="J21" s="25">
        <v>0.60899999999999999</v>
      </c>
      <c r="K21" s="25">
        <v>4.3999999999999997E-2</v>
      </c>
      <c r="L21" s="1">
        <v>0.6</v>
      </c>
      <c r="M21" s="1">
        <v>2</v>
      </c>
      <c r="O21" s="25">
        <v>0.97</v>
      </c>
    </row>
    <row r="22" spans="1:15" ht="13" customHeight="1">
      <c r="A22" s="22">
        <v>41196</v>
      </c>
      <c r="B22" s="23">
        <v>8.3333333333333329E-2</v>
      </c>
      <c r="C22" s="24">
        <v>8.9</v>
      </c>
      <c r="D22" s="24">
        <v>76.900000000000006</v>
      </c>
      <c r="E22" s="1">
        <v>0.2</v>
      </c>
      <c r="F22" s="24">
        <v>1.428571428571429</v>
      </c>
      <c r="G22" s="24">
        <v>0</v>
      </c>
      <c r="H22" s="24">
        <v>268.19923822748808</v>
      </c>
      <c r="I22" s="24">
        <v>346.77066679891669</v>
      </c>
      <c r="J22" s="25">
        <v>0.60899999999999999</v>
      </c>
      <c r="K22" s="25">
        <v>4.3999999999999997E-2</v>
      </c>
      <c r="L22" s="1">
        <v>0.6</v>
      </c>
      <c r="M22" s="1">
        <v>2</v>
      </c>
      <c r="O22" s="25">
        <v>0.97</v>
      </c>
    </row>
    <row r="23" spans="1:15" ht="13" customHeight="1">
      <c r="A23" s="22">
        <v>41196</v>
      </c>
      <c r="B23" s="23">
        <v>9.0277777777777776E-2</v>
      </c>
      <c r="C23" s="24">
        <v>9.1</v>
      </c>
      <c r="D23" s="24">
        <v>76.400000000000006</v>
      </c>
      <c r="E23" s="1">
        <v>0.3</v>
      </c>
      <c r="F23" s="24">
        <v>0</v>
      </c>
      <c r="G23" s="24">
        <v>0</v>
      </c>
      <c r="H23" s="24">
        <v>274.40979673082859</v>
      </c>
      <c r="I23" s="24">
        <v>348.69551101654292</v>
      </c>
      <c r="J23" s="25">
        <v>0.60899999999999999</v>
      </c>
      <c r="K23" s="25">
        <v>4.3999999999999997E-2</v>
      </c>
      <c r="L23" s="1">
        <v>0.6</v>
      </c>
      <c r="M23" s="1">
        <v>2</v>
      </c>
      <c r="O23" s="25">
        <v>0.97</v>
      </c>
    </row>
    <row r="24" spans="1:15" ht="13" customHeight="1">
      <c r="A24" s="22">
        <v>41196</v>
      </c>
      <c r="B24" s="23">
        <v>9.7222222222222224E-2</v>
      </c>
      <c r="C24" s="24">
        <v>9</v>
      </c>
      <c r="D24" s="24">
        <v>76.599999999999994</v>
      </c>
      <c r="E24" s="1">
        <v>0.3</v>
      </c>
      <c r="F24" s="24">
        <v>0</v>
      </c>
      <c r="G24" s="24">
        <v>0</v>
      </c>
      <c r="H24" s="24">
        <v>271.05638108463103</v>
      </c>
      <c r="I24" s="24">
        <v>345.34209537034519</v>
      </c>
      <c r="J24" s="25">
        <v>0.60899999999999999</v>
      </c>
      <c r="K24" s="25">
        <v>4.3999999999999997E-2</v>
      </c>
      <c r="L24" s="1">
        <v>0.6</v>
      </c>
      <c r="M24" s="1">
        <v>2</v>
      </c>
      <c r="O24" s="25">
        <v>0.97</v>
      </c>
    </row>
    <row r="25" spans="1:15" ht="13" customHeight="1">
      <c r="A25" s="22">
        <v>41196</v>
      </c>
      <c r="B25" s="23">
        <v>0.1041666666666667</v>
      </c>
      <c r="C25" s="24">
        <v>8.6999999999999993</v>
      </c>
      <c r="D25" s="24">
        <v>78</v>
      </c>
      <c r="E25" s="1">
        <v>0.3</v>
      </c>
      <c r="F25" s="24">
        <v>0</v>
      </c>
      <c r="G25" s="24">
        <v>0</v>
      </c>
      <c r="H25" s="24">
        <v>273.85646808656372</v>
      </c>
      <c r="I25" s="24">
        <v>345.28503951513522</v>
      </c>
      <c r="J25" s="25">
        <v>0.60899999999999999</v>
      </c>
      <c r="K25" s="25">
        <v>4.3999999999999997E-2</v>
      </c>
      <c r="L25" s="1">
        <v>0.6</v>
      </c>
      <c r="M25" s="1">
        <v>2</v>
      </c>
      <c r="O25" s="25">
        <v>0.97</v>
      </c>
    </row>
    <row r="26" spans="1:15" ht="13" customHeight="1">
      <c r="A26" s="22">
        <v>41196</v>
      </c>
      <c r="B26" s="23">
        <v>0.1111111111111111</v>
      </c>
      <c r="C26" s="24">
        <v>8.5</v>
      </c>
      <c r="D26" s="24">
        <v>78.2</v>
      </c>
      <c r="E26" s="1">
        <v>0.3</v>
      </c>
      <c r="F26" s="24">
        <v>0</v>
      </c>
      <c r="G26" s="24">
        <v>0</v>
      </c>
      <c r="H26" s="24">
        <v>272.9225742857675</v>
      </c>
      <c r="I26" s="24">
        <v>347.20828857148177</v>
      </c>
      <c r="J26" s="25">
        <v>0.60899999999999999</v>
      </c>
      <c r="K26" s="25">
        <v>4.3999999999999997E-2</v>
      </c>
      <c r="L26" s="1">
        <v>0.6</v>
      </c>
      <c r="M26" s="1">
        <v>2</v>
      </c>
      <c r="O26" s="25">
        <v>0.97</v>
      </c>
    </row>
    <row r="27" spans="1:15" ht="13" customHeight="1">
      <c r="A27" s="22">
        <v>41196</v>
      </c>
      <c r="B27" s="23">
        <v>0.11805555555555559</v>
      </c>
      <c r="C27" s="24">
        <v>8.6999999999999993</v>
      </c>
      <c r="D27" s="24">
        <v>79</v>
      </c>
      <c r="E27" s="1">
        <v>0.2</v>
      </c>
      <c r="F27" s="24">
        <v>0</v>
      </c>
      <c r="G27" s="24">
        <v>0</v>
      </c>
      <c r="H27" s="24">
        <v>270.50517856147587</v>
      </c>
      <c r="I27" s="24">
        <v>344.79089284719021</v>
      </c>
      <c r="J27" s="25">
        <v>0.60899999999999999</v>
      </c>
      <c r="K27" s="25">
        <v>4.3999999999999997E-2</v>
      </c>
      <c r="L27" s="1">
        <v>0.6</v>
      </c>
      <c r="M27" s="1">
        <v>2</v>
      </c>
      <c r="O27" s="25">
        <v>0.97</v>
      </c>
    </row>
    <row r="28" spans="1:15" ht="13" customHeight="1">
      <c r="A28" s="22">
        <v>41196</v>
      </c>
      <c r="B28" s="23">
        <v>0.125</v>
      </c>
      <c r="C28" s="24">
        <v>8.4</v>
      </c>
      <c r="D28" s="24">
        <v>79.900000000000006</v>
      </c>
      <c r="E28" s="1">
        <v>0.3</v>
      </c>
      <c r="F28" s="24">
        <v>0</v>
      </c>
      <c r="G28" s="24">
        <v>0</v>
      </c>
      <c r="H28" s="24">
        <v>273.36232141861882</v>
      </c>
      <c r="I28" s="24">
        <v>347.64803570433298</v>
      </c>
      <c r="J28" s="25">
        <v>0.60899999999999999</v>
      </c>
      <c r="K28" s="25">
        <v>4.3999999999999997E-2</v>
      </c>
      <c r="L28" s="1">
        <v>0.6</v>
      </c>
      <c r="M28" s="1">
        <v>2</v>
      </c>
      <c r="O28" s="25">
        <v>0.97</v>
      </c>
    </row>
    <row r="29" spans="1:15" ht="13" customHeight="1">
      <c r="A29" s="22">
        <v>41196</v>
      </c>
      <c r="B29" s="23">
        <v>0.13194444444444439</v>
      </c>
      <c r="C29" s="24">
        <v>8.3000000000000007</v>
      </c>
      <c r="D29" s="24">
        <v>80.099999999999994</v>
      </c>
      <c r="E29" s="1">
        <v>0.3</v>
      </c>
      <c r="F29" s="24">
        <v>0</v>
      </c>
      <c r="G29" s="24">
        <v>0</v>
      </c>
      <c r="H29" s="24">
        <v>274.29727675900358</v>
      </c>
      <c r="I29" s="24">
        <v>348.58299104471791</v>
      </c>
      <c r="J29" s="25">
        <v>0.60899999999999999</v>
      </c>
      <c r="K29" s="25">
        <v>4.3999999999999997E-2</v>
      </c>
      <c r="L29" s="1">
        <v>0.6</v>
      </c>
      <c r="M29" s="1">
        <v>2</v>
      </c>
      <c r="O29" s="25">
        <v>0.97</v>
      </c>
    </row>
    <row r="30" spans="1:15" ht="13" customHeight="1">
      <c r="A30" s="22">
        <v>41196</v>
      </c>
      <c r="B30" s="23">
        <v>0.1388888888888889</v>
      </c>
      <c r="C30" s="24">
        <v>8.1999999999999993</v>
      </c>
      <c r="D30" s="24">
        <v>81.099999999999994</v>
      </c>
      <c r="E30" s="1">
        <v>0.2</v>
      </c>
      <c r="F30" s="24">
        <v>0</v>
      </c>
      <c r="G30" s="24">
        <v>0</v>
      </c>
      <c r="H30" s="24">
        <v>271.4401339018608</v>
      </c>
      <c r="I30" s="24">
        <v>344.29727675900358</v>
      </c>
      <c r="J30" s="25">
        <v>0.60899999999999999</v>
      </c>
      <c r="K30" s="25">
        <v>4.3999999999999997E-2</v>
      </c>
      <c r="L30" s="1">
        <v>0.6</v>
      </c>
      <c r="M30" s="1">
        <v>2</v>
      </c>
      <c r="O30" s="25">
        <v>0.97</v>
      </c>
    </row>
    <row r="31" spans="1:15" ht="13" customHeight="1">
      <c r="A31" s="22">
        <v>41196</v>
      </c>
      <c r="B31" s="23">
        <v>0.14583333333333329</v>
      </c>
      <c r="C31" s="24">
        <v>8.4</v>
      </c>
      <c r="D31" s="24">
        <v>82.7</v>
      </c>
      <c r="E31" s="1">
        <v>0.3</v>
      </c>
      <c r="F31" s="24">
        <v>1.428571428571429</v>
      </c>
      <c r="G31" s="24">
        <v>0</v>
      </c>
      <c r="H31" s="24">
        <v>274.29727675900358</v>
      </c>
      <c r="I31" s="24">
        <v>348.58299104471791</v>
      </c>
      <c r="J31" s="25">
        <v>0.60899999999999999</v>
      </c>
      <c r="K31" s="25">
        <v>4.3999999999999997E-2</v>
      </c>
      <c r="L31" s="1">
        <v>0.6</v>
      </c>
      <c r="M31" s="1">
        <v>2</v>
      </c>
      <c r="O31" s="25">
        <v>0.97</v>
      </c>
    </row>
    <row r="32" spans="1:15" ht="13" customHeight="1">
      <c r="A32" s="22">
        <v>41196</v>
      </c>
      <c r="B32" s="23">
        <v>0.15277777777777779</v>
      </c>
      <c r="C32" s="24">
        <v>8.6</v>
      </c>
      <c r="D32" s="24">
        <v>80.400000000000006</v>
      </c>
      <c r="E32" s="1">
        <v>0.3</v>
      </c>
      <c r="F32" s="24">
        <v>0</v>
      </c>
      <c r="G32" s="24">
        <v>0</v>
      </c>
      <c r="H32" s="24">
        <v>272.86870533043219</v>
      </c>
      <c r="I32" s="24">
        <v>345.72584818757508</v>
      </c>
      <c r="J32" s="25">
        <v>0.60899999999999999</v>
      </c>
      <c r="K32" s="25">
        <v>4.3999999999999997E-2</v>
      </c>
      <c r="L32" s="1">
        <v>0.6</v>
      </c>
      <c r="M32" s="1">
        <v>2</v>
      </c>
      <c r="O32" s="25">
        <v>0.97</v>
      </c>
    </row>
    <row r="33" spans="1:15" ht="13" customHeight="1">
      <c r="A33" s="22">
        <v>41196</v>
      </c>
      <c r="B33" s="23">
        <v>0.15972222222222221</v>
      </c>
      <c r="C33" s="24">
        <v>8.5</v>
      </c>
      <c r="D33" s="24">
        <v>81.3</v>
      </c>
      <c r="E33" s="1">
        <v>0.3</v>
      </c>
      <c r="F33" s="24">
        <v>0</v>
      </c>
      <c r="G33" s="24">
        <v>0</v>
      </c>
      <c r="H33" s="24">
        <v>272.86870533043219</v>
      </c>
      <c r="I33" s="24">
        <v>347.15441961614653</v>
      </c>
      <c r="J33" s="25">
        <v>0.60899999999999999</v>
      </c>
      <c r="K33" s="25">
        <v>4.3999999999999997E-2</v>
      </c>
      <c r="L33" s="1">
        <v>0.6</v>
      </c>
      <c r="M33" s="1">
        <v>2</v>
      </c>
      <c r="O33" s="25">
        <v>0.97</v>
      </c>
    </row>
    <row r="34" spans="1:15" ht="13" customHeight="1">
      <c r="A34" s="22">
        <v>41196</v>
      </c>
      <c r="B34" s="23">
        <v>0.16666666666666671</v>
      </c>
      <c r="C34" s="24">
        <v>8.1999999999999993</v>
      </c>
      <c r="D34" s="24">
        <v>82.1</v>
      </c>
      <c r="E34" s="1">
        <v>0.3</v>
      </c>
      <c r="F34" s="24">
        <v>2.8571428571428572</v>
      </c>
      <c r="G34" s="24">
        <v>0</v>
      </c>
      <c r="H34" s="24">
        <v>270.45449194515828</v>
      </c>
      <c r="I34" s="24">
        <v>340.45449194515828</v>
      </c>
      <c r="J34" s="25">
        <v>0.60899999999999999</v>
      </c>
      <c r="K34" s="25">
        <v>4.3999999999999997E-2</v>
      </c>
      <c r="L34" s="1">
        <v>0.6</v>
      </c>
      <c r="M34" s="1">
        <v>2</v>
      </c>
      <c r="O34" s="25">
        <v>0.97</v>
      </c>
    </row>
    <row r="35" spans="1:15" ht="13" customHeight="1">
      <c r="A35" s="22">
        <v>41196</v>
      </c>
      <c r="B35" s="23">
        <v>0.1736111111111111</v>
      </c>
      <c r="C35" s="24">
        <v>8.1999999999999993</v>
      </c>
      <c r="D35" s="24">
        <v>83.3</v>
      </c>
      <c r="E35" s="1">
        <v>0.3</v>
      </c>
      <c r="F35" s="24">
        <v>0</v>
      </c>
      <c r="G35" s="24">
        <v>0</v>
      </c>
      <c r="H35" s="24">
        <v>273.31163480230123</v>
      </c>
      <c r="I35" s="24">
        <v>344.74020623087262</v>
      </c>
      <c r="J35" s="25">
        <v>0.60899999999999999</v>
      </c>
      <c r="K35" s="25">
        <v>4.3999999999999997E-2</v>
      </c>
      <c r="L35" s="1">
        <v>0.6</v>
      </c>
      <c r="M35" s="1">
        <v>2</v>
      </c>
      <c r="O35" s="25">
        <v>0.97</v>
      </c>
    </row>
    <row r="36" spans="1:15" ht="13" customHeight="1">
      <c r="A36" s="22">
        <v>41196</v>
      </c>
      <c r="B36" s="23">
        <v>0.18055555555555561</v>
      </c>
      <c r="C36" s="24">
        <v>8</v>
      </c>
      <c r="D36" s="24">
        <v>83.9</v>
      </c>
      <c r="E36" s="1">
        <v>0.3</v>
      </c>
      <c r="F36" s="24">
        <v>1.428571428571429</v>
      </c>
      <c r="G36" s="24">
        <v>0</v>
      </c>
      <c r="H36" s="24">
        <v>274.24817960289391</v>
      </c>
      <c r="I36" s="24">
        <v>342.81960817432252</v>
      </c>
      <c r="J36" s="25">
        <v>0.60899999999999999</v>
      </c>
      <c r="K36" s="25">
        <v>4.3999999999999997E-2</v>
      </c>
      <c r="L36" s="1">
        <v>0.6</v>
      </c>
      <c r="M36" s="1">
        <v>2</v>
      </c>
      <c r="O36" s="25">
        <v>0.97</v>
      </c>
    </row>
    <row r="37" spans="1:15" ht="13" customHeight="1">
      <c r="A37" s="22">
        <v>41196</v>
      </c>
      <c r="B37" s="23">
        <v>0.1875</v>
      </c>
      <c r="C37" s="24">
        <v>8.1999999999999993</v>
      </c>
      <c r="D37" s="24">
        <v>85.2</v>
      </c>
      <c r="E37" s="1">
        <v>0.2</v>
      </c>
      <c r="F37" s="24">
        <v>0</v>
      </c>
      <c r="G37" s="24">
        <v>0</v>
      </c>
      <c r="H37" s="24">
        <v>276.168777659444</v>
      </c>
      <c r="I37" s="24">
        <v>346.168777659444</v>
      </c>
      <c r="J37" s="25">
        <v>0.60899999999999999</v>
      </c>
      <c r="K37" s="25">
        <v>4.3999999999999997E-2</v>
      </c>
      <c r="L37" s="1">
        <v>0.6</v>
      </c>
      <c r="M37" s="1">
        <v>2</v>
      </c>
      <c r="O37" s="25">
        <v>0.97</v>
      </c>
    </row>
    <row r="38" spans="1:15" ht="13" customHeight="1">
      <c r="A38" s="22">
        <v>41196</v>
      </c>
      <c r="B38" s="23">
        <v>0.19444444444444439</v>
      </c>
      <c r="C38" s="24">
        <v>8.4</v>
      </c>
      <c r="D38" s="24">
        <v>85.1</v>
      </c>
      <c r="E38" s="1">
        <v>0.2</v>
      </c>
      <c r="F38" s="24">
        <v>0</v>
      </c>
      <c r="G38" s="24">
        <v>0</v>
      </c>
      <c r="H38" s="24">
        <v>276.66133372778307</v>
      </c>
      <c r="I38" s="24">
        <v>345.23276229921169</v>
      </c>
      <c r="J38" s="25">
        <v>0.60899999999999999</v>
      </c>
      <c r="K38" s="25">
        <v>4.3999999999999997E-2</v>
      </c>
      <c r="L38" s="1">
        <v>0.6</v>
      </c>
      <c r="M38" s="1">
        <v>2</v>
      </c>
      <c r="O38" s="25">
        <v>0.97</v>
      </c>
    </row>
    <row r="39" spans="1:15" ht="13" customHeight="1">
      <c r="A39" s="22">
        <v>41196</v>
      </c>
      <c r="B39" s="23">
        <v>0.2013888888888889</v>
      </c>
      <c r="C39" s="24">
        <v>8.1999999999999993</v>
      </c>
      <c r="D39" s="24">
        <v>84.6</v>
      </c>
      <c r="E39" s="1">
        <v>0.2</v>
      </c>
      <c r="F39" s="24">
        <v>0</v>
      </c>
      <c r="G39" s="24">
        <v>0</v>
      </c>
      <c r="H39" s="24">
        <v>273.75668203574918</v>
      </c>
      <c r="I39" s="24">
        <v>340.89953917860629</v>
      </c>
      <c r="J39" s="25">
        <v>0.60899999999999999</v>
      </c>
      <c r="K39" s="25">
        <v>4.3999999999999997E-2</v>
      </c>
      <c r="L39" s="1">
        <v>0.6</v>
      </c>
      <c r="M39" s="1">
        <v>2</v>
      </c>
      <c r="O39" s="25">
        <v>0.97</v>
      </c>
    </row>
    <row r="40" spans="1:15" ht="13" customHeight="1">
      <c r="A40" s="22">
        <v>41196</v>
      </c>
      <c r="B40" s="23">
        <v>0.20833333333333329</v>
      </c>
      <c r="C40" s="24">
        <v>8</v>
      </c>
      <c r="D40" s="24">
        <v>85.6</v>
      </c>
      <c r="E40" s="1">
        <v>0.3</v>
      </c>
      <c r="F40" s="24">
        <v>0</v>
      </c>
      <c r="G40" s="24">
        <v>0</v>
      </c>
      <c r="H40" s="24">
        <v>278.04239632146351</v>
      </c>
      <c r="I40" s="24">
        <v>345.18525346432062</v>
      </c>
      <c r="J40" s="25">
        <v>0.60899999999999999</v>
      </c>
      <c r="K40" s="25">
        <v>4.3999999999999997E-2</v>
      </c>
      <c r="L40" s="1">
        <v>0.6</v>
      </c>
      <c r="M40" s="1">
        <v>2</v>
      </c>
      <c r="O40" s="25">
        <v>0.97</v>
      </c>
    </row>
    <row r="41" spans="1:15" ht="13" customHeight="1">
      <c r="A41" s="22">
        <v>41196</v>
      </c>
      <c r="B41" s="23">
        <v>0.21527777777777779</v>
      </c>
      <c r="C41" s="24">
        <v>7.9</v>
      </c>
      <c r="D41" s="24">
        <v>86.2</v>
      </c>
      <c r="E41" s="1">
        <v>0.3</v>
      </c>
      <c r="F41" s="24">
        <v>1.428571428571429</v>
      </c>
      <c r="G41" s="24">
        <v>0</v>
      </c>
      <c r="H41" s="24">
        <v>278.04239632146351</v>
      </c>
      <c r="I41" s="24">
        <v>342.32811060717768</v>
      </c>
      <c r="J41" s="25">
        <v>0.60899999999999999</v>
      </c>
      <c r="K41" s="25">
        <v>4.3999999999999997E-2</v>
      </c>
      <c r="L41" s="1">
        <v>0.6</v>
      </c>
      <c r="M41" s="1">
        <v>2</v>
      </c>
      <c r="O41" s="25">
        <v>0.97</v>
      </c>
    </row>
    <row r="42" spans="1:15" ht="13" customHeight="1">
      <c r="A42" s="22">
        <v>41196</v>
      </c>
      <c r="B42" s="23">
        <v>0.22222222222222221</v>
      </c>
      <c r="C42" s="24">
        <v>8.1</v>
      </c>
      <c r="D42" s="24">
        <v>86.9</v>
      </c>
      <c r="E42" s="1">
        <v>0.3</v>
      </c>
      <c r="F42" s="24">
        <v>0</v>
      </c>
      <c r="G42" s="24">
        <v>0</v>
      </c>
      <c r="H42" s="24">
        <v>280.89953917860629</v>
      </c>
      <c r="I42" s="24">
        <v>342.32811060717768</v>
      </c>
      <c r="J42" s="25">
        <v>0.60899999999999999</v>
      </c>
      <c r="K42" s="25">
        <v>4.3999999999999997E-2</v>
      </c>
      <c r="L42" s="1">
        <v>0.6</v>
      </c>
      <c r="M42" s="1">
        <v>2</v>
      </c>
      <c r="O42" s="25">
        <v>0.97</v>
      </c>
    </row>
    <row r="43" spans="1:15" ht="13" customHeight="1">
      <c r="A43" s="22">
        <v>41196</v>
      </c>
      <c r="B43" s="23">
        <v>0.22916666666666671</v>
      </c>
      <c r="C43" s="24">
        <v>7.9</v>
      </c>
      <c r="D43" s="24">
        <v>87.2</v>
      </c>
      <c r="E43" s="1">
        <v>0.3</v>
      </c>
      <c r="F43" s="24">
        <v>0</v>
      </c>
      <c r="G43" s="24">
        <v>0</v>
      </c>
      <c r="H43" s="24">
        <v>283.26571315004662</v>
      </c>
      <c r="I43" s="24">
        <v>343.26571315004662</v>
      </c>
      <c r="J43" s="25">
        <v>0.60899999999999999</v>
      </c>
      <c r="K43" s="25">
        <v>4.3999999999999997E-2</v>
      </c>
      <c r="L43" s="1">
        <v>0.6</v>
      </c>
      <c r="M43" s="1">
        <v>2</v>
      </c>
      <c r="O43" s="25">
        <v>0.97</v>
      </c>
    </row>
    <row r="44" spans="1:15" ht="13" customHeight="1">
      <c r="A44" s="22">
        <v>41196</v>
      </c>
      <c r="B44" s="23">
        <v>0.2361111111111111</v>
      </c>
      <c r="C44" s="24">
        <v>7.8</v>
      </c>
      <c r="D44" s="24">
        <v>87.8</v>
      </c>
      <c r="E44" s="1">
        <v>0.3</v>
      </c>
      <c r="F44" s="24">
        <v>0</v>
      </c>
      <c r="G44" s="24">
        <v>0</v>
      </c>
      <c r="H44" s="24">
        <v>285.18525346432062</v>
      </c>
      <c r="I44" s="24">
        <v>342.32811060717768</v>
      </c>
      <c r="J44" s="25">
        <v>0.60899999999999999</v>
      </c>
      <c r="K44" s="25">
        <v>4.3999999999999997E-2</v>
      </c>
      <c r="L44" s="1">
        <v>0.6</v>
      </c>
      <c r="M44" s="1">
        <v>2</v>
      </c>
      <c r="O44" s="25">
        <v>0.97</v>
      </c>
    </row>
    <row r="45" spans="1:15" ht="13" customHeight="1">
      <c r="A45" s="22">
        <v>41196</v>
      </c>
      <c r="B45" s="23">
        <v>0.24305555555555561</v>
      </c>
      <c r="C45" s="24">
        <v>7.7</v>
      </c>
      <c r="D45" s="24">
        <v>88.3</v>
      </c>
      <c r="E45" s="1">
        <v>0.3</v>
      </c>
      <c r="F45" s="24">
        <v>0</v>
      </c>
      <c r="G45" s="24">
        <v>0</v>
      </c>
      <c r="H45" s="24">
        <v>286.61382489289201</v>
      </c>
      <c r="I45" s="24">
        <v>340.89953917860629</v>
      </c>
      <c r="J45" s="25">
        <v>0.60899999999999999</v>
      </c>
      <c r="K45" s="25">
        <v>4.3999999999999997E-2</v>
      </c>
      <c r="L45" s="1">
        <v>0.6</v>
      </c>
      <c r="M45" s="1">
        <v>2</v>
      </c>
      <c r="O45" s="25">
        <v>0.97</v>
      </c>
    </row>
    <row r="46" spans="1:15" ht="13" customHeight="1">
      <c r="A46" s="22">
        <v>41196</v>
      </c>
      <c r="B46" s="23">
        <v>0.25</v>
      </c>
      <c r="C46" s="24">
        <v>7.9</v>
      </c>
      <c r="D46" s="24">
        <v>88.8</v>
      </c>
      <c r="E46" s="1">
        <v>0.3</v>
      </c>
      <c r="F46" s="24">
        <v>2.8571428571428572</v>
      </c>
      <c r="G46" s="24">
        <v>4.2857142857142856</v>
      </c>
      <c r="H46" s="24">
        <v>288.08990515635452</v>
      </c>
      <c r="I46" s="24">
        <v>339.51847658492602</v>
      </c>
      <c r="J46" s="25">
        <v>0.60899999999999999</v>
      </c>
      <c r="K46" s="25">
        <v>4.3999999999999997E-2</v>
      </c>
      <c r="L46" s="1">
        <v>0.6</v>
      </c>
      <c r="M46" s="1">
        <v>2</v>
      </c>
      <c r="O46" s="25">
        <v>0.97</v>
      </c>
    </row>
    <row r="47" spans="1:15" ht="13" customHeight="1">
      <c r="A47" s="22">
        <v>41196</v>
      </c>
      <c r="B47" s="23">
        <v>0.25694444444444442</v>
      </c>
      <c r="C47" s="24">
        <v>8.1</v>
      </c>
      <c r="D47" s="24">
        <v>87.8</v>
      </c>
      <c r="E47" s="1">
        <v>0.3</v>
      </c>
      <c r="F47" s="24">
        <v>10</v>
      </c>
      <c r="G47" s="24">
        <v>7.1428571428571432</v>
      </c>
      <c r="H47" s="24">
        <v>290.94704801349741</v>
      </c>
      <c r="I47" s="24">
        <v>343.80419087064018</v>
      </c>
      <c r="J47" s="25">
        <v>0.60899999999999999</v>
      </c>
      <c r="K47" s="25">
        <v>4.3999999999999997E-2</v>
      </c>
      <c r="L47" s="1">
        <v>0.6</v>
      </c>
      <c r="M47" s="1">
        <v>2</v>
      </c>
      <c r="O47" s="25">
        <v>0.97</v>
      </c>
    </row>
    <row r="48" spans="1:15" ht="13" customHeight="1">
      <c r="A48" s="22">
        <v>41196</v>
      </c>
      <c r="B48" s="23">
        <v>0.2638888888888889</v>
      </c>
      <c r="C48" s="24">
        <v>8.1</v>
      </c>
      <c r="D48" s="24">
        <v>87.9</v>
      </c>
      <c r="E48" s="1">
        <v>0.2</v>
      </c>
      <c r="F48" s="24">
        <v>15.71428571428571</v>
      </c>
      <c r="G48" s="24">
        <v>7.1428571428571432</v>
      </c>
      <c r="H48" s="24">
        <v>292.86870533043219</v>
      </c>
      <c r="I48" s="24">
        <v>347.15441961614653</v>
      </c>
      <c r="J48" s="25">
        <v>0.60899999999999999</v>
      </c>
      <c r="K48" s="25">
        <v>4.3999999999999997E-2</v>
      </c>
      <c r="L48" s="1">
        <v>0.6</v>
      </c>
      <c r="M48" s="1">
        <v>2</v>
      </c>
      <c r="O48" s="25">
        <v>0.97</v>
      </c>
    </row>
    <row r="49" spans="1:15" ht="13" customHeight="1">
      <c r="A49" s="22">
        <v>41196</v>
      </c>
      <c r="B49" s="23">
        <v>0.27083333333333331</v>
      </c>
      <c r="C49" s="24">
        <v>8.3000000000000007</v>
      </c>
      <c r="D49" s="24">
        <v>87.7</v>
      </c>
      <c r="E49" s="1">
        <v>0.2</v>
      </c>
      <c r="F49" s="24">
        <v>24.285714285714281</v>
      </c>
      <c r="G49" s="24">
        <v>8.5714285714285712</v>
      </c>
      <c r="H49" s="24">
        <v>292.9225742857675</v>
      </c>
      <c r="I49" s="24">
        <v>344.35114571433888</v>
      </c>
      <c r="J49" s="25">
        <v>0.60899999999999999</v>
      </c>
      <c r="K49" s="25">
        <v>4.3999999999999997E-2</v>
      </c>
      <c r="L49" s="1">
        <v>0.6</v>
      </c>
      <c r="M49" s="1">
        <v>2</v>
      </c>
      <c r="O49" s="25">
        <v>0.97</v>
      </c>
    </row>
    <row r="50" spans="1:15" ht="13" customHeight="1">
      <c r="A50" s="22">
        <v>41196</v>
      </c>
      <c r="B50" s="23">
        <v>0.27777777777777779</v>
      </c>
      <c r="C50" s="24">
        <v>8.6</v>
      </c>
      <c r="D50" s="24">
        <v>87.2</v>
      </c>
      <c r="E50" s="1">
        <v>0.2</v>
      </c>
      <c r="F50" s="24">
        <v>31.428571428571431</v>
      </c>
      <c r="G50" s="24">
        <v>10</v>
      </c>
      <c r="H50" s="24">
        <v>295.83836815939998</v>
      </c>
      <c r="I50" s="24">
        <v>344.40979673082859</v>
      </c>
      <c r="J50" s="25">
        <v>0.60899999999999999</v>
      </c>
      <c r="K50" s="25">
        <v>4.3999999999999997E-2</v>
      </c>
      <c r="L50" s="1">
        <v>0.6</v>
      </c>
      <c r="M50" s="1">
        <v>2</v>
      </c>
      <c r="O50" s="25">
        <v>0.97</v>
      </c>
    </row>
    <row r="51" spans="1:15" ht="13" customHeight="1">
      <c r="A51" s="22">
        <v>41196</v>
      </c>
      <c r="B51" s="23">
        <v>0.28472222222222221</v>
      </c>
      <c r="C51" s="24">
        <v>8.6</v>
      </c>
      <c r="D51" s="24">
        <v>87.9</v>
      </c>
      <c r="E51" s="1">
        <v>0.1</v>
      </c>
      <c r="F51" s="24">
        <v>44.285714285714278</v>
      </c>
      <c r="G51" s="24">
        <v>12.857142857142859</v>
      </c>
      <c r="H51" s="24">
        <v>292.11450222429738</v>
      </c>
      <c r="I51" s="24">
        <v>346.40021651001177</v>
      </c>
      <c r="J51" s="25">
        <v>0.60899999999999999</v>
      </c>
      <c r="K51" s="25">
        <v>4.3999999999999997E-2</v>
      </c>
      <c r="L51" s="1">
        <v>0.6</v>
      </c>
      <c r="M51" s="1">
        <v>2</v>
      </c>
      <c r="O51" s="25">
        <v>0.97</v>
      </c>
    </row>
    <row r="52" spans="1:15" ht="13" customHeight="1">
      <c r="A52" s="22">
        <v>41196</v>
      </c>
      <c r="B52" s="23">
        <v>0.29166666666666669</v>
      </c>
      <c r="C52" s="24">
        <v>9.3000000000000007</v>
      </c>
      <c r="D52" s="24">
        <v>86.2</v>
      </c>
      <c r="E52" s="1">
        <v>0.2</v>
      </c>
      <c r="F52" s="24">
        <v>112.8571428571429</v>
      </c>
      <c r="G52" s="24">
        <v>20</v>
      </c>
      <c r="H52" s="24">
        <v>295.05239413318918</v>
      </c>
      <c r="I52" s="24">
        <v>352.19525127604629</v>
      </c>
      <c r="J52" s="25">
        <v>0.60899999999999999</v>
      </c>
      <c r="K52" s="25">
        <v>4.3999999999999997E-2</v>
      </c>
      <c r="L52" s="1">
        <v>0.6</v>
      </c>
      <c r="M52" s="1">
        <v>2</v>
      </c>
      <c r="O52" s="25">
        <v>0.97</v>
      </c>
    </row>
    <row r="53" spans="1:15" ht="13" customHeight="1">
      <c r="A53" s="22">
        <v>41196</v>
      </c>
      <c r="B53" s="23">
        <v>0.2986111111111111</v>
      </c>
      <c r="C53" s="24">
        <v>10.199999999999999</v>
      </c>
      <c r="D53" s="24">
        <v>83.4</v>
      </c>
      <c r="E53" s="1">
        <v>0.2</v>
      </c>
      <c r="F53" s="24">
        <v>152.85714285714289</v>
      </c>
      <c r="G53" s="24">
        <v>22.857142857142861</v>
      </c>
      <c r="H53" s="24">
        <v>283.27284427068219</v>
      </c>
      <c r="I53" s="24">
        <v>354.70141569925357</v>
      </c>
      <c r="J53" s="25">
        <v>0.60899999999999999</v>
      </c>
      <c r="K53" s="25">
        <v>4.3999999999999997E-2</v>
      </c>
      <c r="L53" s="1">
        <v>0.6</v>
      </c>
      <c r="M53" s="1">
        <v>2</v>
      </c>
      <c r="O53" s="25">
        <v>0.97</v>
      </c>
    </row>
    <row r="54" spans="1:15" ht="13" customHeight="1">
      <c r="A54" s="22">
        <v>41196</v>
      </c>
      <c r="B54" s="23">
        <v>0.30555555555555558</v>
      </c>
      <c r="C54" s="24">
        <v>11.7</v>
      </c>
      <c r="D54" s="24">
        <v>74.7</v>
      </c>
      <c r="E54" s="1">
        <v>0.3</v>
      </c>
      <c r="F54" s="24">
        <v>180</v>
      </c>
      <c r="G54" s="24">
        <v>22.857142857142861</v>
      </c>
      <c r="H54" s="24">
        <v>278.93119346966591</v>
      </c>
      <c r="I54" s="24">
        <v>361.78833632680869</v>
      </c>
      <c r="J54" s="25">
        <v>0.60899999999999999</v>
      </c>
      <c r="K54" s="25">
        <v>4.3999999999999997E-2</v>
      </c>
      <c r="L54" s="1">
        <v>0.6</v>
      </c>
      <c r="M54" s="1">
        <v>2</v>
      </c>
      <c r="O54" s="25">
        <v>0.97</v>
      </c>
    </row>
    <row r="55" spans="1:15" ht="13" customHeight="1">
      <c r="A55" s="22">
        <v>41196</v>
      </c>
      <c r="B55" s="23">
        <v>0.3125</v>
      </c>
      <c r="C55" s="24">
        <v>13</v>
      </c>
      <c r="D55" s="24">
        <v>69.5</v>
      </c>
      <c r="E55" s="1">
        <v>0.3</v>
      </c>
      <c r="F55" s="24">
        <v>208.57142857142861</v>
      </c>
      <c r="G55" s="24">
        <v>21.428571428571431</v>
      </c>
      <c r="H55" s="24">
        <v>277.9983199359549</v>
      </c>
      <c r="I55" s="24">
        <v>363.71260565024062</v>
      </c>
      <c r="J55" s="25">
        <v>0.60899999999999999</v>
      </c>
      <c r="K55" s="25">
        <v>4.3999999999999997E-2</v>
      </c>
      <c r="L55" s="1">
        <v>0.6</v>
      </c>
      <c r="M55" s="1">
        <v>2</v>
      </c>
      <c r="O55" s="25">
        <v>0.97</v>
      </c>
    </row>
    <row r="56" spans="1:15" ht="13" customHeight="1">
      <c r="A56" s="22" t="s">
        <v>63</v>
      </c>
      <c r="B56" s="23">
        <v>0.31944444444444442</v>
      </c>
      <c r="C56" s="24">
        <v>14</v>
      </c>
      <c r="D56" s="24">
        <v>65.7</v>
      </c>
      <c r="E56" s="1">
        <v>0.2</v>
      </c>
      <c r="F56" s="24">
        <v>241.42857142857139</v>
      </c>
      <c r="G56" s="24">
        <v>18.571428571428569</v>
      </c>
      <c r="H56" s="24">
        <v>282.39465504151468</v>
      </c>
      <c r="I56" s="24">
        <v>369.53751218437191</v>
      </c>
      <c r="J56" s="25">
        <v>0.60899999999999999</v>
      </c>
      <c r="K56" s="25">
        <v>4.3999999999999997E-2</v>
      </c>
      <c r="L56" s="1">
        <v>0.6</v>
      </c>
      <c r="M56" s="1">
        <v>2</v>
      </c>
      <c r="O56" s="25">
        <v>0.97</v>
      </c>
    </row>
    <row r="57" spans="1:15" ht="13" customHeight="1">
      <c r="A57" s="22">
        <v>41196</v>
      </c>
      <c r="C57" s="24">
        <v>14.9</v>
      </c>
      <c r="D57" s="24">
        <v>63.2</v>
      </c>
      <c r="E57" s="1">
        <v>0.3</v>
      </c>
      <c r="F57" s="24">
        <v>275.71428571428572</v>
      </c>
      <c r="G57" s="24">
        <v>21.428571428571431</v>
      </c>
      <c r="H57" s="24">
        <v>282.96783346627518</v>
      </c>
      <c r="I57" s="24">
        <v>374.39640489484663</v>
      </c>
      <c r="J57" s="25">
        <v>0.60899999999999999</v>
      </c>
      <c r="K57" s="25">
        <v>4.3999999999999997E-2</v>
      </c>
      <c r="L57" s="1">
        <v>0.6</v>
      </c>
      <c r="M57" s="1">
        <v>2</v>
      </c>
      <c r="O57" s="25">
        <v>0.97</v>
      </c>
    </row>
    <row r="58" spans="1:15" ht="13" customHeight="1">
      <c r="A58" s="22">
        <v>41196</v>
      </c>
      <c r="B58" s="23">
        <v>0.33333333333333331</v>
      </c>
      <c r="D58" s="24">
        <v>60.4</v>
      </c>
      <c r="E58" s="1">
        <v>0.2</v>
      </c>
      <c r="F58" s="24">
        <v>307.14285714285722</v>
      </c>
      <c r="G58" s="24">
        <v>22.857142857142861</v>
      </c>
      <c r="H58" s="24">
        <v>285.94765312804179</v>
      </c>
      <c r="I58" s="24">
        <v>380.23336741375613</v>
      </c>
      <c r="J58" s="25">
        <v>0.60899999999999999</v>
      </c>
      <c r="K58" s="25">
        <v>4.3999999999999997E-2</v>
      </c>
      <c r="L58" s="1">
        <v>0.6</v>
      </c>
      <c r="M58" s="1">
        <v>2</v>
      </c>
      <c r="O58" s="25">
        <v>0.97</v>
      </c>
    </row>
    <row r="59" spans="1:15" ht="13" customHeight="1">
      <c r="A59" s="22">
        <v>41196</v>
      </c>
      <c r="B59" s="23">
        <v>0.34027777777777779</v>
      </c>
      <c r="C59" s="24">
        <v>16.600000000000001</v>
      </c>
      <c r="E59" s="1">
        <v>0.3</v>
      </c>
      <c r="F59" s="24">
        <v>338.57142857142861</v>
      </c>
      <c r="G59" s="24">
        <v>27.142857142857139</v>
      </c>
      <c r="H59" s="24">
        <v>285.02891529249382</v>
      </c>
      <c r="I59" s="24">
        <v>383.60034386392238</v>
      </c>
      <c r="J59" s="25">
        <v>0.60899999999999999</v>
      </c>
      <c r="K59" s="25">
        <v>4.3999999999999997E-2</v>
      </c>
      <c r="L59" s="1">
        <v>0.6</v>
      </c>
      <c r="M59" s="1">
        <v>2</v>
      </c>
      <c r="O59" s="25">
        <v>0.97</v>
      </c>
    </row>
    <row r="60" spans="1:15" ht="13" customHeight="1">
      <c r="A60" s="22">
        <v>41196</v>
      </c>
      <c r="B60" s="23">
        <v>0.34722222222222221</v>
      </c>
      <c r="C60" s="24">
        <v>16.899999999999999</v>
      </c>
      <c r="D60" s="24">
        <v>56.9</v>
      </c>
      <c r="F60" s="24">
        <v>367.14285714285722</v>
      </c>
      <c r="G60" s="24">
        <v>32.857142857142847</v>
      </c>
      <c r="H60" s="24">
        <v>289.89502088572527</v>
      </c>
      <c r="I60" s="24">
        <v>392.75216374286822</v>
      </c>
      <c r="J60" s="25">
        <v>0.60899999999999999</v>
      </c>
      <c r="K60" s="25">
        <v>4.3999999999999997E-2</v>
      </c>
      <c r="L60" s="1">
        <v>0.6</v>
      </c>
      <c r="M60" s="1">
        <v>2</v>
      </c>
      <c r="O60" s="25">
        <v>0.97</v>
      </c>
    </row>
    <row r="61" spans="1:15" ht="13" customHeight="1">
      <c r="A61" s="22">
        <v>41196</v>
      </c>
      <c r="B61" s="23">
        <v>0.35416666666666669</v>
      </c>
      <c r="C61" s="24">
        <v>17.399999999999999</v>
      </c>
      <c r="D61" s="24">
        <v>54.6</v>
      </c>
      <c r="E61" s="1">
        <v>0.4</v>
      </c>
      <c r="G61" s="24">
        <v>31.428571428571431</v>
      </c>
      <c r="H61" s="24">
        <v>289.92256333163772</v>
      </c>
      <c r="I61" s="24">
        <v>398.49399190306627</v>
      </c>
      <c r="J61" s="25">
        <v>0.60899999999999999</v>
      </c>
      <c r="K61" s="25">
        <v>4.3999999999999997E-2</v>
      </c>
      <c r="L61" s="1">
        <v>0.6</v>
      </c>
      <c r="M61" s="1">
        <v>2</v>
      </c>
      <c r="O61" s="25">
        <v>0.97</v>
      </c>
    </row>
    <row r="62" spans="1:15" ht="13" customHeight="1">
      <c r="A62" s="22">
        <v>41196</v>
      </c>
      <c r="B62" s="23">
        <v>0.3611111111111111</v>
      </c>
      <c r="C62" s="24">
        <v>17.2</v>
      </c>
      <c r="D62" s="24">
        <v>55.7</v>
      </c>
      <c r="E62" s="1">
        <v>0.4</v>
      </c>
      <c r="F62" s="24">
        <v>424.28571428571428</v>
      </c>
      <c r="H62" s="24">
        <v>295.15216980040452</v>
      </c>
      <c r="I62" s="24">
        <v>406.58074122897602</v>
      </c>
      <c r="J62" s="25">
        <v>0.60899999999999999</v>
      </c>
      <c r="K62" s="25">
        <v>4.3999999999999997E-2</v>
      </c>
      <c r="L62" s="1">
        <v>0.6</v>
      </c>
      <c r="M62" s="1">
        <v>2</v>
      </c>
      <c r="O62" s="25">
        <v>0.97</v>
      </c>
    </row>
    <row r="63" spans="1:15" ht="13" customHeight="1">
      <c r="A63" s="22">
        <v>41196</v>
      </c>
      <c r="B63" s="23">
        <v>0.36805555555555558</v>
      </c>
      <c r="C63" s="24">
        <v>17.899999999999999</v>
      </c>
      <c r="D63" s="24">
        <v>55.3</v>
      </c>
      <c r="E63" s="1">
        <v>0.4</v>
      </c>
      <c r="F63" s="24">
        <v>451.42857142857139</v>
      </c>
      <c r="G63" s="24">
        <v>45.714285714285722</v>
      </c>
      <c r="I63" s="24">
        <v>414.12674642266819</v>
      </c>
      <c r="J63" s="25">
        <v>0.60899999999999999</v>
      </c>
      <c r="K63" s="25">
        <v>4.3999999999999997E-2</v>
      </c>
      <c r="L63" s="1">
        <v>0.6</v>
      </c>
      <c r="M63" s="1">
        <v>2</v>
      </c>
      <c r="O63" s="25">
        <v>0.97</v>
      </c>
    </row>
    <row r="64" spans="1:15" ht="13" customHeight="1">
      <c r="A64" s="22">
        <v>41196</v>
      </c>
      <c r="B64" s="23">
        <v>0.375</v>
      </c>
      <c r="C64" s="24">
        <v>18.5</v>
      </c>
      <c r="D64" s="24">
        <v>54.7</v>
      </c>
      <c r="E64" s="1">
        <v>0.4</v>
      </c>
      <c r="F64" s="24">
        <v>472.85714285714278</v>
      </c>
      <c r="G64" s="24">
        <v>42.857142857142847</v>
      </c>
      <c r="H64" s="24">
        <v>293.62833403149511</v>
      </c>
      <c r="J64" s="25">
        <v>0.60899999999999999</v>
      </c>
      <c r="K64" s="25">
        <v>4.3999999999999997E-2</v>
      </c>
      <c r="L64" s="1">
        <v>0.6</v>
      </c>
      <c r="M64" s="1">
        <v>2</v>
      </c>
      <c r="O64" s="25">
        <v>0.97</v>
      </c>
    </row>
    <row r="65" spans="1:15" ht="13" customHeight="1">
      <c r="A65" s="22">
        <v>41196</v>
      </c>
      <c r="B65" s="23">
        <v>0.38194444444444442</v>
      </c>
      <c r="C65" s="24">
        <v>18.600000000000001</v>
      </c>
      <c r="D65" s="24">
        <v>54.9</v>
      </c>
      <c r="E65" s="1">
        <v>0.4</v>
      </c>
      <c r="F65" s="24">
        <v>498.57142857142861</v>
      </c>
      <c r="G65" s="24">
        <v>45.714285714285722</v>
      </c>
      <c r="H65" s="24">
        <v>298.97049721658959</v>
      </c>
      <c r="I65" s="24">
        <v>427.5419257880182</v>
      </c>
      <c r="K65" s="25">
        <v>4.3999999999999997E-2</v>
      </c>
      <c r="L65" s="1">
        <v>0.6</v>
      </c>
      <c r="M65" s="1">
        <v>2</v>
      </c>
      <c r="O65" s="25">
        <v>0.97</v>
      </c>
    </row>
    <row r="66" spans="1:15" ht="13" customHeight="1">
      <c r="A66" s="22">
        <v>41196</v>
      </c>
      <c r="B66" s="23">
        <v>0.3888888888888889</v>
      </c>
      <c r="C66" s="24">
        <v>19.2</v>
      </c>
      <c r="D66" s="24">
        <v>52</v>
      </c>
      <c r="E66" s="1">
        <v>0.4</v>
      </c>
      <c r="F66" s="24">
        <v>522.85714285714289</v>
      </c>
      <c r="G66" s="24">
        <v>51.428571428571431</v>
      </c>
      <c r="H66" s="24">
        <v>298.97049721658959</v>
      </c>
      <c r="I66" s="24">
        <v>433.25621150230393</v>
      </c>
      <c r="J66" s="25">
        <v>0.60899999999999999</v>
      </c>
      <c r="L66" s="1">
        <v>0.6</v>
      </c>
      <c r="M66" s="1">
        <v>2</v>
      </c>
      <c r="O66" s="25">
        <v>0.97</v>
      </c>
    </row>
    <row r="67" spans="1:15" ht="13" customHeight="1">
      <c r="A67" s="22">
        <v>41196</v>
      </c>
      <c r="B67" s="23">
        <v>0.39583333333333331</v>
      </c>
      <c r="C67" s="24">
        <v>19.100000000000001</v>
      </c>
      <c r="D67" s="24">
        <v>51.2</v>
      </c>
      <c r="E67" s="1">
        <v>0.6</v>
      </c>
      <c r="F67" s="24">
        <v>545.71428571428567</v>
      </c>
      <c r="G67" s="24">
        <v>61.428571428571431</v>
      </c>
      <c r="H67" s="24">
        <v>298.50327291717679</v>
      </c>
      <c r="I67" s="24">
        <v>439.93184434574817</v>
      </c>
      <c r="J67" s="25">
        <v>0.60899999999999999</v>
      </c>
      <c r="K67" s="25">
        <v>4.3999999999999997E-2</v>
      </c>
      <c r="M67" s="1">
        <v>2</v>
      </c>
      <c r="O67" s="25">
        <v>0.97</v>
      </c>
    </row>
    <row r="68" spans="1:15" ht="13" customHeight="1">
      <c r="A68" s="22">
        <v>41196</v>
      </c>
      <c r="B68" s="23">
        <v>0.40277777777777779</v>
      </c>
      <c r="C68" s="24">
        <v>19.8</v>
      </c>
      <c r="D68" s="24">
        <v>48.4</v>
      </c>
      <c r="E68" s="1">
        <v>0.5</v>
      </c>
      <c r="F68" s="24">
        <v>565.71428571428567</v>
      </c>
      <c r="G68" s="24">
        <v>65.714285714285708</v>
      </c>
      <c r="H68" s="24">
        <v>301.95940242378811</v>
      </c>
      <c r="I68" s="24">
        <v>451.95940242378811</v>
      </c>
      <c r="J68" s="25">
        <v>0.60899999999999999</v>
      </c>
      <c r="K68" s="25">
        <v>4.3999999999999997E-2</v>
      </c>
      <c r="L68" s="1">
        <v>0.6</v>
      </c>
      <c r="O68" s="25">
        <v>0.97</v>
      </c>
    </row>
    <row r="69" spans="1:15" ht="13" customHeight="1">
      <c r="A69" s="22">
        <v>41196</v>
      </c>
      <c r="B69" s="23">
        <v>0.40972222222222221</v>
      </c>
      <c r="C69" s="24">
        <v>20.3</v>
      </c>
      <c r="D69" s="24">
        <v>47.1</v>
      </c>
      <c r="E69" s="1">
        <v>0.5</v>
      </c>
      <c r="F69" s="24">
        <v>584.28571428571433</v>
      </c>
      <c r="G69" s="24">
        <v>67.142857142857139</v>
      </c>
      <c r="H69" s="24">
        <v>303.69682035240493</v>
      </c>
      <c r="I69" s="24">
        <v>463.69682035240493</v>
      </c>
      <c r="J69" s="25">
        <v>0.60899999999999999</v>
      </c>
      <c r="K69" s="25">
        <v>4.3999999999999997E-2</v>
      </c>
      <c r="L69" s="1">
        <v>0.6</v>
      </c>
      <c r="M69" s="1">
        <v>2</v>
      </c>
      <c r="O69" s="25"/>
    </row>
    <row r="70" spans="1:15" ht="13" customHeight="1">
      <c r="A70" s="22">
        <v>41196</v>
      </c>
      <c r="B70" s="23">
        <v>0.41666666666666669</v>
      </c>
      <c r="C70" s="24">
        <v>20.8</v>
      </c>
      <c r="D70" s="24">
        <v>45.2</v>
      </c>
      <c r="E70" s="1">
        <v>0.5</v>
      </c>
      <c r="F70" s="24">
        <v>601.42857142857144</v>
      </c>
      <c r="G70" s="24">
        <v>71.428571428571431</v>
      </c>
      <c r="H70" s="24">
        <v>305.73104050625687</v>
      </c>
      <c r="I70" s="24">
        <v>471.44532622054271</v>
      </c>
      <c r="J70" s="25">
        <v>0.60899999999999999</v>
      </c>
      <c r="K70" s="25">
        <v>4.3999999999999997E-2</v>
      </c>
      <c r="L70" s="1">
        <v>0.6</v>
      </c>
      <c r="M70" s="1">
        <v>2</v>
      </c>
      <c r="O70" s="25">
        <v>0.97</v>
      </c>
    </row>
    <row r="71" spans="1:15" ht="13" customHeight="1">
      <c r="A71" s="22">
        <v>41196</v>
      </c>
      <c r="B71" s="23">
        <v>0.4236111111111111</v>
      </c>
      <c r="C71" s="24">
        <v>21.1</v>
      </c>
      <c r="D71" s="24">
        <v>42</v>
      </c>
      <c r="E71" s="1">
        <v>0.5</v>
      </c>
      <c r="F71" s="24">
        <v>621.42857142857144</v>
      </c>
      <c r="G71" s="24">
        <v>78.571428571428569</v>
      </c>
      <c r="H71" s="24">
        <v>306.73114885820758</v>
      </c>
      <c r="I71" s="24">
        <v>479.58829171535041</v>
      </c>
      <c r="J71" s="25">
        <v>0.60899999999999999</v>
      </c>
      <c r="K71" s="25">
        <v>4.3999999999999997E-2</v>
      </c>
      <c r="L71" s="1">
        <v>0.6</v>
      </c>
      <c r="M71" s="1">
        <v>2</v>
      </c>
      <c r="O71" s="25">
        <v>0.97</v>
      </c>
    </row>
    <row r="72" spans="1:15" ht="13" customHeight="1">
      <c r="A72" s="22">
        <v>41196</v>
      </c>
      <c r="B72" s="23">
        <v>0.43055555555555558</v>
      </c>
      <c r="C72" s="24">
        <v>21.4</v>
      </c>
      <c r="D72" s="24">
        <v>41.4</v>
      </c>
      <c r="E72" s="1">
        <v>0.6</v>
      </c>
      <c r="F72" s="24">
        <v>635.71428571428567</v>
      </c>
      <c r="G72" s="24">
        <v>81.428571428571431</v>
      </c>
      <c r="H72" s="24">
        <v>310.18922913466361</v>
      </c>
      <c r="I72" s="24">
        <v>491.61780056323511</v>
      </c>
      <c r="J72" s="25">
        <v>0.60899999999999999</v>
      </c>
      <c r="K72" s="25">
        <v>4.3999999999999997E-2</v>
      </c>
      <c r="L72" s="1">
        <v>0.6</v>
      </c>
      <c r="M72" s="1">
        <v>2</v>
      </c>
      <c r="O72" s="25">
        <v>0.97</v>
      </c>
    </row>
    <row r="73" spans="1:15" ht="13" customHeight="1">
      <c r="A73" s="22">
        <v>41196</v>
      </c>
      <c r="B73" s="23">
        <v>0.4375</v>
      </c>
      <c r="C73" s="24">
        <v>22.1</v>
      </c>
      <c r="D73" s="24">
        <v>39.700000000000003</v>
      </c>
      <c r="E73" s="1">
        <v>0.5</v>
      </c>
      <c r="F73" s="24">
        <v>645.71428571428567</v>
      </c>
      <c r="G73" s="24">
        <v>82.857142857142861</v>
      </c>
      <c r="H73" s="24">
        <v>311.41701362306571</v>
      </c>
      <c r="I73" s="24">
        <v>499.98844219449421</v>
      </c>
      <c r="J73" s="25">
        <v>0.60899999999999999</v>
      </c>
      <c r="K73" s="25">
        <v>4.3999999999999997E-2</v>
      </c>
      <c r="L73" s="1">
        <v>0.6</v>
      </c>
      <c r="M73" s="1">
        <v>2</v>
      </c>
      <c r="O73" s="25">
        <v>0.97</v>
      </c>
    </row>
    <row r="74" spans="1:15" ht="13" customHeight="1">
      <c r="A74" s="22">
        <v>41196</v>
      </c>
      <c r="B74" s="23">
        <v>0.44444444444444442</v>
      </c>
      <c r="C74" s="24">
        <v>22</v>
      </c>
      <c r="D74" s="24">
        <v>38.200000000000003</v>
      </c>
      <c r="E74" s="1">
        <v>0.6</v>
      </c>
      <c r="F74" s="24">
        <v>662.85714285714289</v>
      </c>
      <c r="G74" s="24">
        <v>90</v>
      </c>
      <c r="H74" s="24">
        <v>313.06865189109112</v>
      </c>
      <c r="I74" s="24">
        <v>508.78293760537679</v>
      </c>
      <c r="J74" s="25">
        <v>0.60899999999999999</v>
      </c>
      <c r="K74" s="25">
        <v>4.3999999999999997E-2</v>
      </c>
      <c r="L74" s="1">
        <v>0.6</v>
      </c>
      <c r="M74" s="1">
        <v>2</v>
      </c>
      <c r="O74" s="25">
        <v>0.97</v>
      </c>
    </row>
    <row r="75" spans="1:15" ht="13" customHeight="1">
      <c r="A75" s="22">
        <v>41196</v>
      </c>
      <c r="B75" s="23">
        <v>0.4513888888888889</v>
      </c>
      <c r="C75" s="24">
        <v>22.8</v>
      </c>
      <c r="D75" s="24">
        <v>37.4</v>
      </c>
      <c r="E75" s="1">
        <v>0.5</v>
      </c>
      <c r="F75" s="24">
        <v>670</v>
      </c>
      <c r="G75" s="24">
        <v>90</v>
      </c>
      <c r="H75" s="24">
        <v>312.25796826983458</v>
      </c>
      <c r="I75" s="24">
        <v>512.25796826983458</v>
      </c>
      <c r="J75" s="25">
        <v>0.60899999999999999</v>
      </c>
      <c r="K75" s="25">
        <v>4.3999999999999997E-2</v>
      </c>
      <c r="L75" s="1">
        <v>0.6</v>
      </c>
      <c r="M75" s="1">
        <v>2</v>
      </c>
      <c r="O75" s="25">
        <v>0.97</v>
      </c>
    </row>
    <row r="76" spans="1:15" ht="13" customHeight="1">
      <c r="A76" s="22">
        <v>41196</v>
      </c>
      <c r="B76" s="23">
        <v>0.45833333333333331</v>
      </c>
      <c r="C76" s="24">
        <v>22.7</v>
      </c>
      <c r="D76" s="24">
        <v>36.9</v>
      </c>
      <c r="E76" s="1">
        <v>0.7</v>
      </c>
      <c r="F76" s="24">
        <v>677.14285714285711</v>
      </c>
      <c r="G76" s="24">
        <v>88.571428571428569</v>
      </c>
      <c r="H76" s="24">
        <v>316.78523059551623</v>
      </c>
      <c r="I76" s="24">
        <v>525.35665916694472</v>
      </c>
      <c r="J76" s="25">
        <v>0.60899999999999999</v>
      </c>
      <c r="K76" s="25">
        <v>4.3999999999999997E-2</v>
      </c>
      <c r="L76" s="1">
        <v>0.6</v>
      </c>
      <c r="M76" s="1">
        <v>2</v>
      </c>
      <c r="O76" s="25">
        <v>0.97</v>
      </c>
    </row>
    <row r="77" spans="1:15" ht="13" customHeight="1">
      <c r="A77" s="22">
        <v>41196</v>
      </c>
      <c r="B77" s="23">
        <v>0.46527777777777779</v>
      </c>
      <c r="C77" s="24">
        <v>23.7</v>
      </c>
      <c r="D77" s="24">
        <v>35.700000000000003</v>
      </c>
      <c r="E77" s="1">
        <v>0.5</v>
      </c>
      <c r="F77" s="24">
        <v>687.14285714285711</v>
      </c>
      <c r="G77" s="24">
        <v>94.285714285714292</v>
      </c>
      <c r="H77" s="24">
        <v>318.4708074157777</v>
      </c>
      <c r="I77" s="24">
        <v>531.32795027292059</v>
      </c>
      <c r="J77" s="25">
        <v>0.60899999999999999</v>
      </c>
      <c r="K77" s="25">
        <v>4.3999999999999997E-2</v>
      </c>
      <c r="L77" s="1">
        <v>0.6</v>
      </c>
      <c r="M77" s="1">
        <v>2</v>
      </c>
      <c r="O77" s="25">
        <v>0.97</v>
      </c>
    </row>
    <row r="78" spans="1:15" ht="13" customHeight="1">
      <c r="A78" s="22">
        <v>41196</v>
      </c>
      <c r="B78" s="23">
        <v>0.47222222222222221</v>
      </c>
      <c r="C78" s="24">
        <v>23.4</v>
      </c>
      <c r="D78" s="24">
        <v>35.200000000000003</v>
      </c>
      <c r="E78" s="1">
        <v>0.7</v>
      </c>
      <c r="F78" s="24">
        <v>691.42857142857144</v>
      </c>
      <c r="G78" s="24">
        <v>94.285714285714292</v>
      </c>
      <c r="H78" s="24">
        <v>319.27531014434919</v>
      </c>
      <c r="I78" s="24">
        <v>534.98959585863497</v>
      </c>
      <c r="J78" s="25">
        <v>0.60899999999999999</v>
      </c>
      <c r="K78" s="25">
        <v>4.3999999999999997E-2</v>
      </c>
      <c r="L78" s="1">
        <v>0.6</v>
      </c>
      <c r="M78" s="1">
        <v>2</v>
      </c>
      <c r="O78" s="25">
        <v>0.97</v>
      </c>
    </row>
    <row r="79" spans="1:15" ht="13" customHeight="1">
      <c r="A79" s="22">
        <v>41196</v>
      </c>
      <c r="B79" s="23">
        <v>0.47916666666666669</v>
      </c>
      <c r="C79" s="24">
        <v>23.6</v>
      </c>
      <c r="D79" s="24">
        <v>33.299999999999997</v>
      </c>
      <c r="E79" s="1">
        <v>0.8</v>
      </c>
      <c r="F79" s="24">
        <v>694.28571428571433</v>
      </c>
      <c r="G79" s="24">
        <v>98.571428571428569</v>
      </c>
      <c r="H79" s="24">
        <v>317.66692503376947</v>
      </c>
      <c r="I79" s="24">
        <v>539.09549646234086</v>
      </c>
      <c r="J79" s="25">
        <v>0.60899999999999999</v>
      </c>
      <c r="K79" s="25">
        <v>4.3999999999999997E-2</v>
      </c>
      <c r="L79" s="1">
        <v>0.6</v>
      </c>
      <c r="M79" s="1">
        <v>2</v>
      </c>
      <c r="O79" s="25">
        <v>0.97</v>
      </c>
    </row>
    <row r="80" spans="1:15" ht="13" customHeight="1">
      <c r="A80" s="22">
        <v>41196</v>
      </c>
      <c r="B80" s="23">
        <v>0.4861111111111111</v>
      </c>
      <c r="C80" s="24">
        <v>23.7</v>
      </c>
      <c r="D80" s="24">
        <v>34.799999999999997</v>
      </c>
      <c r="E80" s="1">
        <v>0.7</v>
      </c>
      <c r="F80" s="24">
        <v>702.85714285714289</v>
      </c>
      <c r="G80" s="24">
        <v>100</v>
      </c>
      <c r="H80" s="24">
        <v>316.23835360519797</v>
      </c>
      <c r="I80" s="24">
        <v>539.09549646234086</v>
      </c>
      <c r="J80" s="25">
        <v>0.60899999999999999</v>
      </c>
      <c r="K80" s="25">
        <v>4.3999999999999997E-2</v>
      </c>
      <c r="L80" s="1">
        <v>0.6</v>
      </c>
      <c r="M80" s="1">
        <v>2</v>
      </c>
      <c r="O80" s="25">
        <v>0.97</v>
      </c>
    </row>
    <row r="81" spans="1:15" ht="13" customHeight="1">
      <c r="A81" s="22">
        <v>41196</v>
      </c>
      <c r="B81" s="23">
        <v>0.49305555555555558</v>
      </c>
      <c r="C81" s="24">
        <v>23.9</v>
      </c>
      <c r="D81" s="24">
        <v>33.5</v>
      </c>
      <c r="E81" s="1">
        <v>0.8</v>
      </c>
      <c r="F81" s="24">
        <v>701.42857142857144</v>
      </c>
      <c r="G81" s="24">
        <v>101.4285714285714</v>
      </c>
      <c r="H81" s="24">
        <v>318.29223483785808</v>
      </c>
      <c r="I81" s="24">
        <v>545.43509198071524</v>
      </c>
      <c r="J81" s="25">
        <v>0.60899999999999999</v>
      </c>
      <c r="K81" s="25">
        <v>4.3999999999999997E-2</v>
      </c>
      <c r="L81" s="1">
        <v>0.6</v>
      </c>
      <c r="M81" s="1">
        <v>2</v>
      </c>
      <c r="O81" s="25">
        <v>0.97</v>
      </c>
    </row>
    <row r="82" spans="1:15" ht="13" customHeight="1">
      <c r="A82" s="22">
        <v>41196</v>
      </c>
      <c r="B82" s="23">
        <v>0.5</v>
      </c>
      <c r="C82" s="24">
        <v>24.2</v>
      </c>
      <c r="D82" s="24">
        <v>33</v>
      </c>
      <c r="E82" s="1">
        <v>0.7</v>
      </c>
      <c r="F82" s="24">
        <v>690</v>
      </c>
      <c r="G82" s="24">
        <v>98.571428571428569</v>
      </c>
      <c r="H82" s="24">
        <v>321.60046433550337</v>
      </c>
      <c r="I82" s="24">
        <v>550.17189290693193</v>
      </c>
      <c r="J82" s="25">
        <v>0.60899999999999999</v>
      </c>
      <c r="K82" s="25">
        <v>4.3999999999999997E-2</v>
      </c>
      <c r="L82" s="1">
        <v>0.6</v>
      </c>
      <c r="M82" s="1">
        <v>2</v>
      </c>
      <c r="O82" s="25">
        <v>0.97</v>
      </c>
    </row>
    <row r="83" spans="1:15" ht="13" customHeight="1">
      <c r="A83" s="22">
        <v>41196</v>
      </c>
      <c r="B83" s="23">
        <v>0.50694444444444442</v>
      </c>
      <c r="C83" s="24">
        <v>23.4</v>
      </c>
      <c r="D83" s="24">
        <v>31.7</v>
      </c>
      <c r="E83" s="1">
        <v>0.9</v>
      </c>
      <c r="F83" s="24">
        <v>697.14285714285711</v>
      </c>
      <c r="G83" s="24">
        <v>98.571428571428569</v>
      </c>
      <c r="H83" s="24">
        <v>318.11614693456602</v>
      </c>
      <c r="I83" s="24">
        <v>548.11614693456602</v>
      </c>
      <c r="J83" s="25">
        <v>0.60899999999999999</v>
      </c>
      <c r="K83" s="25">
        <v>4.3999999999999997E-2</v>
      </c>
      <c r="L83" s="1">
        <v>0.6</v>
      </c>
      <c r="M83" s="1">
        <v>2</v>
      </c>
      <c r="O83" s="25">
        <v>0.97</v>
      </c>
    </row>
    <row r="84" spans="1:15" ht="13" customHeight="1">
      <c r="A84" s="22">
        <v>41196</v>
      </c>
      <c r="B84" s="23">
        <v>0.51388888888888884</v>
      </c>
      <c r="C84" s="24">
        <v>24.3</v>
      </c>
      <c r="D84" s="24">
        <v>30.8</v>
      </c>
      <c r="E84" s="1">
        <v>0.8</v>
      </c>
      <c r="F84" s="24">
        <v>700</v>
      </c>
      <c r="G84" s="24">
        <v>98.571428571428569</v>
      </c>
      <c r="H84" s="24">
        <v>314.80978217662658</v>
      </c>
      <c r="I84" s="24">
        <v>546.23835360519809</v>
      </c>
      <c r="J84" s="25">
        <v>0.60899999999999999</v>
      </c>
      <c r="K84" s="25">
        <v>4.3999999999999997E-2</v>
      </c>
      <c r="L84" s="1">
        <v>0.6</v>
      </c>
      <c r="M84" s="1">
        <v>2</v>
      </c>
      <c r="O84" s="25">
        <v>0.97</v>
      </c>
    </row>
    <row r="85" spans="1:15" ht="13" customHeight="1">
      <c r="A85" s="22">
        <v>41196</v>
      </c>
      <c r="B85" s="23">
        <v>0.52083333333333337</v>
      </c>
      <c r="C85" s="24">
        <v>23.9</v>
      </c>
      <c r="D85" s="24">
        <v>27.8</v>
      </c>
      <c r="E85" s="1">
        <v>1.2</v>
      </c>
      <c r="F85" s="24">
        <v>692.85714285714289</v>
      </c>
      <c r="G85" s="24">
        <v>100</v>
      </c>
      <c r="H85" s="24">
        <v>310.080432808659</v>
      </c>
      <c r="I85" s="24">
        <v>545.79471852294466</v>
      </c>
      <c r="J85" s="25">
        <v>0.60899999999999999</v>
      </c>
      <c r="K85" s="25">
        <v>4.3999999999999997E-2</v>
      </c>
      <c r="L85" s="1">
        <v>0.6</v>
      </c>
      <c r="M85" s="1">
        <v>2</v>
      </c>
      <c r="O85" s="25">
        <v>0.97</v>
      </c>
    </row>
    <row r="86" spans="1:15" ht="13" customHeight="1">
      <c r="A86" s="22">
        <v>41196</v>
      </c>
      <c r="B86" s="23">
        <v>0.52777777777777779</v>
      </c>
      <c r="C86" s="24">
        <v>24.3</v>
      </c>
      <c r="D86" s="24">
        <v>26.7</v>
      </c>
      <c r="E86" s="1">
        <v>1.2</v>
      </c>
      <c r="F86" s="24">
        <v>682.85714285714289</v>
      </c>
      <c r="G86" s="24">
        <v>101.4285714285714</v>
      </c>
      <c r="H86" s="24">
        <v>313.02903576407482</v>
      </c>
      <c r="I86" s="24">
        <v>555.8861786212176</v>
      </c>
      <c r="J86" s="25">
        <v>0.60899999999999999</v>
      </c>
      <c r="K86" s="25">
        <v>4.3999999999999997E-2</v>
      </c>
      <c r="L86" s="1">
        <v>0.6</v>
      </c>
      <c r="M86" s="1">
        <v>2</v>
      </c>
      <c r="O86" s="25">
        <v>0.97</v>
      </c>
    </row>
    <row r="87" spans="1:15" ht="13" customHeight="1">
      <c r="A87" s="22">
        <v>41196</v>
      </c>
      <c r="B87" s="23">
        <v>0.53472222222222221</v>
      </c>
      <c r="C87" s="24">
        <v>24.9</v>
      </c>
      <c r="D87" s="24">
        <v>25.3</v>
      </c>
      <c r="E87" s="1">
        <v>1</v>
      </c>
      <c r="F87" s="24">
        <v>668.57142857142856</v>
      </c>
      <c r="G87" s="24">
        <v>98.571428571428569</v>
      </c>
      <c r="H87" s="24">
        <v>316.17425275891338</v>
      </c>
      <c r="I87" s="24">
        <v>557.60282418748488</v>
      </c>
      <c r="J87" s="25">
        <v>0.60899999999999999</v>
      </c>
      <c r="K87" s="25">
        <v>4.3999999999999997E-2</v>
      </c>
      <c r="L87" s="1">
        <v>0.6</v>
      </c>
      <c r="M87" s="1">
        <v>2</v>
      </c>
      <c r="O87" s="25">
        <v>0.97</v>
      </c>
    </row>
    <row r="88" spans="1:15" ht="13" customHeight="1">
      <c r="A88" s="22">
        <v>41196</v>
      </c>
      <c r="B88" s="23">
        <v>0.54166666666666663</v>
      </c>
      <c r="C88" s="24">
        <v>25.4</v>
      </c>
      <c r="D88" s="24">
        <v>25.2</v>
      </c>
      <c r="E88" s="1">
        <v>0.8</v>
      </c>
      <c r="F88" s="24">
        <v>655.71428571428567</v>
      </c>
      <c r="G88" s="24">
        <v>92.857142857142861</v>
      </c>
      <c r="H88" s="24">
        <v>313.94802503931032</v>
      </c>
      <c r="I88" s="24">
        <v>553.94802503931032</v>
      </c>
      <c r="J88" s="25">
        <v>0.60899999999999999</v>
      </c>
      <c r="K88" s="25">
        <v>4.3999999999999997E-2</v>
      </c>
      <c r="L88" s="1">
        <v>0.6</v>
      </c>
      <c r="M88" s="1">
        <v>2</v>
      </c>
      <c r="O88" s="25">
        <v>0.97</v>
      </c>
    </row>
    <row r="89" spans="1:15" ht="13" customHeight="1">
      <c r="A89" s="22">
        <v>41196</v>
      </c>
      <c r="B89" s="23">
        <v>0.54861111111111116</v>
      </c>
      <c r="C89" s="24">
        <v>24.5</v>
      </c>
      <c r="D89" s="24">
        <v>25.5</v>
      </c>
      <c r="E89" s="1">
        <v>1.2</v>
      </c>
      <c r="F89" s="24">
        <v>655.71428571428567</v>
      </c>
      <c r="G89" s="24">
        <v>94.285714285714292</v>
      </c>
      <c r="H89" s="24">
        <v>314.28525247150282</v>
      </c>
      <c r="I89" s="24">
        <v>548.57096675721698</v>
      </c>
      <c r="J89" s="25">
        <v>0.60899999999999999</v>
      </c>
      <c r="K89" s="25">
        <v>4.3999999999999997E-2</v>
      </c>
      <c r="L89" s="1">
        <v>0.6</v>
      </c>
      <c r="M89" s="1">
        <v>2</v>
      </c>
      <c r="O89" s="25">
        <v>0.97</v>
      </c>
    </row>
    <row r="90" spans="1:15" ht="13" customHeight="1">
      <c r="A90" s="22">
        <v>41196</v>
      </c>
      <c r="B90" s="23">
        <v>0.55555555555555558</v>
      </c>
      <c r="C90" s="24">
        <v>24.7</v>
      </c>
      <c r="D90" s="24">
        <v>25.8</v>
      </c>
      <c r="E90" s="1">
        <v>1.2</v>
      </c>
      <c r="F90" s="24">
        <v>650</v>
      </c>
      <c r="G90" s="24">
        <v>94.285714285714292</v>
      </c>
      <c r="H90" s="24">
        <v>314.11539065510482</v>
      </c>
      <c r="I90" s="24">
        <v>554.11539065510476</v>
      </c>
      <c r="J90" s="25">
        <v>0.60899999999999999</v>
      </c>
      <c r="K90" s="25">
        <v>4.3999999999999997E-2</v>
      </c>
      <c r="L90" s="1">
        <v>0.6</v>
      </c>
      <c r="M90" s="1">
        <v>2</v>
      </c>
      <c r="O90" s="25">
        <v>0.97</v>
      </c>
    </row>
    <row r="91" spans="1:15" ht="13" customHeight="1">
      <c r="A91" s="22">
        <v>41196</v>
      </c>
      <c r="B91" s="23">
        <v>0.5625</v>
      </c>
      <c r="C91" s="24">
        <v>25.4</v>
      </c>
      <c r="D91" s="24">
        <v>24.4</v>
      </c>
      <c r="E91" s="1">
        <v>1.1000000000000001</v>
      </c>
      <c r="F91" s="24">
        <v>642.85714285714289</v>
      </c>
      <c r="G91" s="24">
        <v>88.571428571428569</v>
      </c>
      <c r="H91" s="24">
        <v>316.97253351224771</v>
      </c>
      <c r="I91" s="24">
        <v>548.4011049408191</v>
      </c>
      <c r="J91" s="25">
        <v>0.60899999999999999</v>
      </c>
      <c r="K91" s="25">
        <v>4.3999999999999997E-2</v>
      </c>
      <c r="L91" s="1">
        <v>0.6</v>
      </c>
      <c r="M91" s="1">
        <v>2</v>
      </c>
      <c r="O91" s="25">
        <v>0.97</v>
      </c>
    </row>
    <row r="92" spans="1:15" ht="13" customHeight="1">
      <c r="A92" s="22">
        <v>41196</v>
      </c>
      <c r="B92" s="23">
        <v>0.56944444444444442</v>
      </c>
      <c r="C92" s="24">
        <v>24.7</v>
      </c>
      <c r="D92" s="24">
        <v>25.4</v>
      </c>
      <c r="E92" s="1">
        <v>1.5</v>
      </c>
      <c r="F92" s="24">
        <v>614.28571428571433</v>
      </c>
      <c r="G92" s="24">
        <v>82.857142857142861</v>
      </c>
      <c r="H92" s="24">
        <v>310.52406789091231</v>
      </c>
      <c r="I92" s="24">
        <v>534.80978217662664</v>
      </c>
      <c r="J92" s="25">
        <v>0.60899999999999999</v>
      </c>
      <c r="K92" s="25">
        <v>4.3999999999999997E-2</v>
      </c>
      <c r="L92" s="1">
        <v>0.6</v>
      </c>
      <c r="M92" s="1">
        <v>2</v>
      </c>
      <c r="O92" s="25">
        <v>0.97</v>
      </c>
    </row>
    <row r="93" spans="1:15" ht="13" customHeight="1">
      <c r="A93" s="22">
        <v>41196</v>
      </c>
      <c r="B93" s="23">
        <v>0.57638888888888884</v>
      </c>
      <c r="C93" s="24">
        <v>24.4</v>
      </c>
      <c r="D93" s="24">
        <v>26.1</v>
      </c>
      <c r="E93" s="1">
        <v>1.6</v>
      </c>
      <c r="F93" s="24">
        <v>582.85714285714289</v>
      </c>
      <c r="G93" s="24">
        <v>82.857142857142861</v>
      </c>
      <c r="H93" s="24">
        <v>312.40186122028018</v>
      </c>
      <c r="I93" s="24">
        <v>539.54471836313735</v>
      </c>
      <c r="J93" s="25">
        <v>0.60899999999999999</v>
      </c>
      <c r="K93" s="25">
        <v>4.3999999999999997E-2</v>
      </c>
      <c r="L93" s="1">
        <v>0.6</v>
      </c>
      <c r="M93" s="1">
        <v>2</v>
      </c>
      <c r="O93" s="25">
        <v>0.97</v>
      </c>
    </row>
    <row r="94" spans="1:15" ht="13" customHeight="1">
      <c r="A94" s="22">
        <v>41196</v>
      </c>
      <c r="B94" s="23">
        <v>0.58333333333333337</v>
      </c>
      <c r="C94" s="24">
        <v>24.7</v>
      </c>
      <c r="D94" s="24">
        <v>27.8</v>
      </c>
      <c r="E94" s="1">
        <v>1.2</v>
      </c>
      <c r="F94" s="24">
        <v>467.14285714285722</v>
      </c>
      <c r="G94" s="24">
        <v>64.285714285714292</v>
      </c>
      <c r="H94" s="24">
        <v>314.0065205521438</v>
      </c>
      <c r="I94" s="24">
        <v>529.72080626642958</v>
      </c>
      <c r="J94" s="25">
        <v>0.60899999999999999</v>
      </c>
      <c r="K94" s="25">
        <v>4.3999999999999997E-2</v>
      </c>
      <c r="L94" s="1">
        <v>0.6</v>
      </c>
      <c r="M94" s="1">
        <v>2</v>
      </c>
      <c r="O94" s="25">
        <v>0.97</v>
      </c>
    </row>
    <row r="95" spans="1:15" ht="13" customHeight="1">
      <c r="A95" s="22">
        <v>41196</v>
      </c>
      <c r="B95" s="23">
        <v>0.59027777777777779</v>
      </c>
      <c r="C95" s="24">
        <v>24.5</v>
      </c>
      <c r="D95" s="24">
        <v>27</v>
      </c>
      <c r="E95" s="1">
        <v>1.2</v>
      </c>
      <c r="F95" s="24">
        <v>547.14285714285711</v>
      </c>
      <c r="G95" s="24">
        <v>72.857142857142861</v>
      </c>
      <c r="H95" s="24">
        <v>312.93757566580189</v>
      </c>
      <c r="I95" s="24">
        <v>522.93757566580189</v>
      </c>
      <c r="J95" s="25">
        <v>0.60899999999999999</v>
      </c>
      <c r="K95" s="25">
        <v>4.3999999999999997E-2</v>
      </c>
      <c r="L95" s="1">
        <v>0.6</v>
      </c>
      <c r="M95" s="1">
        <v>2</v>
      </c>
      <c r="O95" s="25">
        <v>0.97</v>
      </c>
    </row>
    <row r="96" spans="1:15" ht="13" customHeight="1">
      <c r="A96" s="22">
        <v>41196</v>
      </c>
      <c r="B96" s="23">
        <v>0.59722222222222221</v>
      </c>
      <c r="C96" s="24">
        <v>24.4</v>
      </c>
      <c r="D96" s="24">
        <v>30.6</v>
      </c>
      <c r="E96" s="1">
        <v>1.3</v>
      </c>
      <c r="F96" s="24">
        <v>521.42857142857144</v>
      </c>
      <c r="G96" s="24">
        <v>71.428571428571431</v>
      </c>
      <c r="H96" s="24">
        <v>313.20388009628402</v>
      </c>
      <c r="I96" s="24">
        <v>521.77530866771258</v>
      </c>
      <c r="J96" s="25">
        <v>0.60899999999999999</v>
      </c>
      <c r="K96" s="25">
        <v>4.3999999999999997E-2</v>
      </c>
      <c r="L96" s="1">
        <v>0.6</v>
      </c>
      <c r="M96" s="1">
        <v>2</v>
      </c>
      <c r="O96" s="25">
        <v>0.97</v>
      </c>
    </row>
    <row r="97" spans="1:15" ht="13" customHeight="1">
      <c r="A97" s="22">
        <v>41196</v>
      </c>
      <c r="B97" s="23">
        <v>0.60416666666666663</v>
      </c>
      <c r="C97" s="24">
        <v>24.6</v>
      </c>
      <c r="D97" s="24">
        <v>29.4</v>
      </c>
      <c r="E97" s="1">
        <v>0.9</v>
      </c>
      <c r="F97" s="24">
        <v>480</v>
      </c>
      <c r="G97" s="24">
        <v>65.714285714285708</v>
      </c>
      <c r="H97" s="24">
        <v>316.86366340928669</v>
      </c>
      <c r="I97" s="24">
        <v>516.86366340928669</v>
      </c>
      <c r="J97" s="25">
        <v>0.60899999999999999</v>
      </c>
      <c r="K97" s="25">
        <v>4.3999999999999997E-2</v>
      </c>
      <c r="L97" s="1">
        <v>0.6</v>
      </c>
      <c r="M97" s="1">
        <v>2</v>
      </c>
      <c r="O97" s="25">
        <v>0.97</v>
      </c>
    </row>
    <row r="98" spans="1:15" ht="13" customHeight="1">
      <c r="A98" s="22">
        <v>41196</v>
      </c>
      <c r="B98" s="23">
        <v>0.61111111111111116</v>
      </c>
      <c r="C98" s="24">
        <v>24.8</v>
      </c>
      <c r="D98" s="24">
        <v>30.3</v>
      </c>
      <c r="E98" s="1">
        <v>0.9</v>
      </c>
      <c r="F98" s="24">
        <v>395.71428571428572</v>
      </c>
      <c r="G98" s="24">
        <v>55.714285714285722</v>
      </c>
      <c r="H98" s="24">
        <v>320.88617499801711</v>
      </c>
      <c r="I98" s="24">
        <v>506.60046071230278</v>
      </c>
      <c r="J98" s="25">
        <v>0.60899999999999999</v>
      </c>
      <c r="K98" s="25">
        <v>4.3999999999999997E-2</v>
      </c>
      <c r="L98" s="1">
        <v>0.6</v>
      </c>
      <c r="M98" s="1">
        <v>2</v>
      </c>
      <c r="O98" s="25">
        <v>0.97</v>
      </c>
    </row>
    <row r="99" spans="1:15" ht="13" customHeight="1">
      <c r="A99" s="22">
        <v>41196</v>
      </c>
      <c r="B99" s="23">
        <v>0.61805555555555558</v>
      </c>
      <c r="C99" s="24">
        <v>24.3</v>
      </c>
      <c r="D99" s="24">
        <v>31.2</v>
      </c>
      <c r="E99" s="1">
        <v>1</v>
      </c>
      <c r="F99" s="24">
        <v>481.42857142857139</v>
      </c>
      <c r="G99" s="24">
        <v>64.285714285714292</v>
      </c>
      <c r="H99" s="24">
        <v>314.54967915901312</v>
      </c>
      <c r="I99" s="24">
        <v>505.97825058758463</v>
      </c>
      <c r="J99" s="25">
        <v>0.60899999999999999</v>
      </c>
      <c r="K99" s="25">
        <v>4.3999999999999997E-2</v>
      </c>
      <c r="L99" s="1">
        <v>0.6</v>
      </c>
      <c r="M99" s="1">
        <v>2</v>
      </c>
      <c r="O99" s="25">
        <v>0.97</v>
      </c>
    </row>
    <row r="100" spans="1:15" ht="13" customHeight="1">
      <c r="A100" s="22">
        <v>41196</v>
      </c>
      <c r="B100" s="23">
        <v>0.625</v>
      </c>
      <c r="C100" s="24">
        <v>24.5</v>
      </c>
      <c r="D100" s="24">
        <v>30.2</v>
      </c>
      <c r="E100" s="1">
        <v>1.1000000000000001</v>
      </c>
      <c r="F100" s="24">
        <v>435.71428571428572</v>
      </c>
      <c r="G100" s="24">
        <v>57.142857142857153</v>
      </c>
      <c r="H100" s="24">
        <v>318.8353934447274</v>
      </c>
      <c r="I100" s="24">
        <v>503.12110773044168</v>
      </c>
      <c r="J100" s="25">
        <v>0.60899999999999999</v>
      </c>
      <c r="K100" s="25">
        <v>4.3999999999999997E-2</v>
      </c>
      <c r="L100" s="1">
        <v>0.6</v>
      </c>
      <c r="M100" s="1">
        <v>2</v>
      </c>
      <c r="O100" s="25">
        <v>0.97</v>
      </c>
    </row>
    <row r="101" spans="1:15" ht="13" customHeight="1">
      <c r="A101" s="22">
        <v>41196</v>
      </c>
      <c r="B101" s="23">
        <v>0.63194444444444442</v>
      </c>
      <c r="C101" s="24">
        <v>24.3</v>
      </c>
      <c r="D101" s="24">
        <v>28</v>
      </c>
      <c r="E101" s="1">
        <v>1.2</v>
      </c>
      <c r="F101" s="24">
        <v>371.42857142857139</v>
      </c>
      <c r="G101" s="24">
        <v>50</v>
      </c>
      <c r="H101" s="24">
        <v>312.68675936833841</v>
      </c>
      <c r="I101" s="24">
        <v>496.97247365405269</v>
      </c>
      <c r="J101" s="25">
        <v>0.60899999999999999</v>
      </c>
      <c r="K101" s="25">
        <v>4.3999999999999997E-2</v>
      </c>
      <c r="L101" s="1">
        <v>0.6</v>
      </c>
      <c r="M101" s="1">
        <v>2</v>
      </c>
      <c r="O101" s="25">
        <v>0.97</v>
      </c>
    </row>
    <row r="102" spans="1:15" ht="13" customHeight="1">
      <c r="A102" s="22">
        <v>41196</v>
      </c>
      <c r="B102" s="23">
        <v>0.63888888888888884</v>
      </c>
      <c r="C102" s="24">
        <v>24.3</v>
      </c>
      <c r="D102" s="24">
        <v>31</v>
      </c>
      <c r="E102" s="1">
        <v>1.5</v>
      </c>
      <c r="F102" s="24">
        <v>344.28571428571428</v>
      </c>
      <c r="G102" s="24">
        <v>48.571428571428569</v>
      </c>
      <c r="H102" s="24">
        <v>311.44790089300972</v>
      </c>
      <c r="I102" s="24">
        <v>494.30504375015249</v>
      </c>
      <c r="J102" s="25">
        <v>0.60899999999999999</v>
      </c>
      <c r="K102" s="25">
        <v>4.3999999999999997E-2</v>
      </c>
      <c r="L102" s="1">
        <v>0.6</v>
      </c>
      <c r="M102" s="1">
        <v>2</v>
      </c>
      <c r="O102" s="25">
        <v>0.97</v>
      </c>
    </row>
    <row r="103" spans="1:15" ht="13" customHeight="1">
      <c r="A103" s="22">
        <v>41196</v>
      </c>
      <c r="B103" s="23">
        <v>0.64583333333333337</v>
      </c>
      <c r="C103" s="24">
        <v>24.2</v>
      </c>
      <c r="D103" s="24">
        <v>30.8</v>
      </c>
      <c r="E103" s="1">
        <v>1</v>
      </c>
      <c r="F103" s="24">
        <v>298.57142857142861</v>
      </c>
      <c r="G103" s="24">
        <v>41.428571428571431</v>
      </c>
      <c r="H103" s="24">
        <v>306.92357724682211</v>
      </c>
      <c r="I103" s="24">
        <v>479.78072010396488</v>
      </c>
      <c r="J103" s="25">
        <v>0.60899999999999999</v>
      </c>
      <c r="K103" s="25">
        <v>4.3999999999999997E-2</v>
      </c>
      <c r="L103" s="1">
        <v>0.6</v>
      </c>
      <c r="M103" s="1">
        <v>2</v>
      </c>
      <c r="O103" s="25">
        <v>0.97</v>
      </c>
    </row>
    <row r="104" spans="1:15" ht="13" customHeight="1">
      <c r="A104" s="22">
        <v>41196</v>
      </c>
      <c r="B104" s="23">
        <v>0.65277777777777779</v>
      </c>
      <c r="C104" s="24">
        <v>23.7</v>
      </c>
      <c r="D104" s="24">
        <v>31.1</v>
      </c>
      <c r="E104" s="1">
        <v>1.8</v>
      </c>
      <c r="F104" s="24">
        <v>277.14285714285722</v>
      </c>
      <c r="G104" s="24">
        <v>48.571428571428569</v>
      </c>
      <c r="H104" s="24">
        <v>306.12306536713658</v>
      </c>
      <c r="I104" s="24">
        <v>474.69449393856519</v>
      </c>
      <c r="J104" s="25">
        <v>0.60899999999999999</v>
      </c>
      <c r="K104" s="25">
        <v>4.3999999999999997E-2</v>
      </c>
      <c r="L104" s="1">
        <v>0.6</v>
      </c>
      <c r="M104" s="1">
        <v>2</v>
      </c>
      <c r="O104" s="25">
        <v>0.97</v>
      </c>
    </row>
    <row r="105" spans="1:15" ht="13" customHeight="1">
      <c r="A105" s="22">
        <v>41196</v>
      </c>
      <c r="B105" s="23">
        <v>0.65972222222222221</v>
      </c>
      <c r="C105" s="24">
        <v>23.5</v>
      </c>
      <c r="D105" s="24">
        <v>31</v>
      </c>
      <c r="E105" s="1">
        <v>1.8</v>
      </c>
      <c r="F105" s="24">
        <v>180</v>
      </c>
      <c r="G105" s="24">
        <v>30</v>
      </c>
      <c r="H105" s="24">
        <v>308.58818336339982</v>
      </c>
      <c r="I105" s="24">
        <v>468.58818336339982</v>
      </c>
      <c r="J105" s="25">
        <v>0.60899999999999999</v>
      </c>
      <c r="K105" s="25">
        <v>4.3999999999999997E-2</v>
      </c>
      <c r="L105" s="1">
        <v>0.6</v>
      </c>
      <c r="M105" s="1">
        <v>2</v>
      </c>
      <c r="O105" s="25">
        <v>0.97</v>
      </c>
    </row>
    <row r="106" spans="1:15" ht="13" customHeight="1">
      <c r="A106" s="22">
        <v>41196</v>
      </c>
      <c r="B106" s="23">
        <v>0.66666666666666663</v>
      </c>
      <c r="C106" s="24">
        <v>23.6</v>
      </c>
      <c r="D106" s="24">
        <v>30.8</v>
      </c>
      <c r="E106" s="1">
        <v>1.5</v>
      </c>
      <c r="F106" s="24">
        <v>167.14285714285711</v>
      </c>
      <c r="G106" s="24">
        <v>30</v>
      </c>
      <c r="H106" s="24">
        <v>309.93184434574817</v>
      </c>
      <c r="I106" s="24">
        <v>459.93184434574817</v>
      </c>
      <c r="J106" s="25">
        <v>0.60899999999999999</v>
      </c>
      <c r="K106" s="25">
        <v>4.3999999999999997E-2</v>
      </c>
      <c r="L106" s="1">
        <v>0.6</v>
      </c>
      <c r="M106" s="1">
        <v>2</v>
      </c>
      <c r="O106" s="25">
        <v>0.97</v>
      </c>
    </row>
    <row r="107" spans="1:15" ht="13" customHeight="1">
      <c r="A107" s="22">
        <v>41196</v>
      </c>
      <c r="B107" s="23">
        <v>0.67361111111111116</v>
      </c>
      <c r="C107" s="24">
        <v>23.2</v>
      </c>
      <c r="D107" s="24">
        <v>32</v>
      </c>
      <c r="E107" s="1">
        <v>1.6</v>
      </c>
      <c r="F107" s="24">
        <v>148.57142857142861</v>
      </c>
      <c r="G107" s="24">
        <v>27.142857142857139</v>
      </c>
      <c r="H107" s="24">
        <v>308.73568026887028</v>
      </c>
      <c r="I107" s="24">
        <v>457.30710884029889</v>
      </c>
      <c r="J107" s="25">
        <v>0.60899999999999999</v>
      </c>
      <c r="K107" s="25">
        <v>4.3999999999999997E-2</v>
      </c>
      <c r="L107" s="1">
        <v>0.6</v>
      </c>
      <c r="M107" s="1">
        <v>2</v>
      </c>
      <c r="O107" s="25">
        <v>0.97</v>
      </c>
    </row>
    <row r="108" spans="1:15" ht="13" customHeight="1">
      <c r="A108" s="22">
        <v>41196</v>
      </c>
      <c r="B108" s="23">
        <v>0.68055555555555558</v>
      </c>
      <c r="C108" s="24">
        <v>23.1</v>
      </c>
      <c r="D108" s="24">
        <v>33.799999999999997</v>
      </c>
      <c r="E108" s="1">
        <v>1.1000000000000001</v>
      </c>
      <c r="F108" s="24">
        <v>117.1428571428571</v>
      </c>
      <c r="G108" s="24">
        <v>20</v>
      </c>
      <c r="H108" s="24">
        <v>308.97049721658959</v>
      </c>
      <c r="I108" s="24">
        <v>450.39906864516109</v>
      </c>
      <c r="J108" s="25">
        <v>0.60899999999999999</v>
      </c>
      <c r="K108" s="25">
        <v>4.3999999999999997E-2</v>
      </c>
      <c r="L108" s="1">
        <v>0.6</v>
      </c>
      <c r="M108" s="1">
        <v>2</v>
      </c>
      <c r="O108" s="25">
        <v>0.97</v>
      </c>
    </row>
    <row r="109" spans="1:15" ht="13" customHeight="1">
      <c r="A109" s="22">
        <v>41196</v>
      </c>
      <c r="B109" s="23">
        <v>0.6875</v>
      </c>
      <c r="C109" s="24">
        <v>22.8</v>
      </c>
      <c r="D109" s="24">
        <v>35.299999999999997</v>
      </c>
      <c r="E109" s="1">
        <v>1.3</v>
      </c>
      <c r="F109" s="24">
        <v>100</v>
      </c>
      <c r="G109" s="24">
        <v>12.857142857142859</v>
      </c>
      <c r="H109" s="24">
        <v>305.05690546006662</v>
      </c>
      <c r="I109" s="24">
        <v>445.05690546006662</v>
      </c>
      <c r="J109" s="25">
        <v>0.60899999999999999</v>
      </c>
      <c r="K109" s="25">
        <v>4.3999999999999997E-2</v>
      </c>
      <c r="L109" s="1">
        <v>0.6</v>
      </c>
      <c r="M109" s="1">
        <v>2</v>
      </c>
      <c r="O109" s="25">
        <v>0.97</v>
      </c>
    </row>
    <row r="110" spans="1:15" ht="13" customHeight="1">
      <c r="A110" s="22">
        <v>41196</v>
      </c>
      <c r="B110" s="23">
        <v>0.69444444444444442</v>
      </c>
      <c r="C110" s="24">
        <v>22.6</v>
      </c>
      <c r="D110" s="24">
        <v>35.4</v>
      </c>
      <c r="E110" s="1">
        <v>1.3</v>
      </c>
      <c r="F110" s="24">
        <v>40</v>
      </c>
      <c r="G110" s="24">
        <v>10</v>
      </c>
      <c r="H110" s="24">
        <v>308.59334030066509</v>
      </c>
      <c r="I110" s="24">
        <v>438.59334030066509</v>
      </c>
      <c r="J110" s="25">
        <v>0.60899999999999999</v>
      </c>
      <c r="K110" s="25">
        <v>4.3999999999999997E-2</v>
      </c>
      <c r="L110" s="1">
        <v>0.6</v>
      </c>
      <c r="M110" s="1">
        <v>2</v>
      </c>
      <c r="O110" s="25">
        <v>0.97</v>
      </c>
    </row>
    <row r="111" spans="1:15" ht="13" customHeight="1">
      <c r="A111" s="22">
        <v>41196</v>
      </c>
      <c r="B111" s="23">
        <v>0.70138888888888884</v>
      </c>
      <c r="C111" s="24">
        <v>22.3</v>
      </c>
      <c r="D111" s="24">
        <v>35.700000000000003</v>
      </c>
      <c r="E111" s="1">
        <v>1</v>
      </c>
      <c r="F111" s="24">
        <v>31.428571428571431</v>
      </c>
      <c r="G111" s="24">
        <v>7.1428571428571432</v>
      </c>
      <c r="H111" s="24">
        <v>305.63684904592338</v>
      </c>
      <c r="I111" s="24">
        <v>434.208277617352</v>
      </c>
      <c r="J111" s="25">
        <v>0.60899999999999999</v>
      </c>
      <c r="K111" s="25">
        <v>4.3999999999999997E-2</v>
      </c>
      <c r="L111" s="1">
        <v>0.6</v>
      </c>
      <c r="M111" s="1">
        <v>2</v>
      </c>
      <c r="O111" s="25">
        <v>0.97</v>
      </c>
    </row>
    <row r="112" spans="1:15" ht="13" customHeight="1">
      <c r="A112" s="22">
        <v>41196</v>
      </c>
      <c r="B112" s="23">
        <v>0.70833333333333337</v>
      </c>
      <c r="C112" s="24">
        <v>22</v>
      </c>
      <c r="D112" s="24">
        <v>35.1</v>
      </c>
      <c r="E112" s="1">
        <v>1</v>
      </c>
      <c r="F112" s="24">
        <v>20</v>
      </c>
      <c r="G112" s="24">
        <v>10</v>
      </c>
      <c r="H112" s="24">
        <v>297.31669071062771</v>
      </c>
      <c r="I112" s="24">
        <v>423.03097642491338</v>
      </c>
      <c r="J112" s="25">
        <v>0.60899999999999999</v>
      </c>
      <c r="K112" s="25">
        <v>4.3999999999999997E-2</v>
      </c>
      <c r="L112" s="1">
        <v>0.6</v>
      </c>
      <c r="M112" s="1">
        <v>2</v>
      </c>
      <c r="O112" s="25">
        <v>0.97</v>
      </c>
    </row>
    <row r="113" spans="1:15" ht="13" customHeight="1">
      <c r="A113" s="22">
        <v>41196</v>
      </c>
      <c r="B113" s="23">
        <v>0.71527777777777779</v>
      </c>
      <c r="C113" s="24">
        <v>21.6</v>
      </c>
      <c r="D113" s="24">
        <v>34.299999999999997</v>
      </c>
      <c r="E113" s="1">
        <v>1.4</v>
      </c>
      <c r="F113" s="24">
        <v>7.1428571428571432</v>
      </c>
      <c r="G113" s="24">
        <v>5.7142857142857144</v>
      </c>
      <c r="H113" s="24">
        <v>301.02433990110399</v>
      </c>
      <c r="I113" s="24">
        <v>423.88148275824688</v>
      </c>
      <c r="J113" s="25">
        <v>0.60899999999999999</v>
      </c>
      <c r="K113" s="25">
        <v>4.3999999999999997E-2</v>
      </c>
      <c r="L113" s="1">
        <v>0.6</v>
      </c>
      <c r="M113" s="1">
        <v>2</v>
      </c>
      <c r="O113" s="25">
        <v>0.97</v>
      </c>
    </row>
    <row r="114" spans="1:15" ht="13" customHeight="1">
      <c r="A114" s="22">
        <v>41196</v>
      </c>
      <c r="B114" s="23">
        <v>0.72222222222222221</v>
      </c>
      <c r="C114" s="24">
        <v>21.3</v>
      </c>
      <c r="D114" s="24">
        <v>34.5</v>
      </c>
      <c r="E114" s="1">
        <v>1.2</v>
      </c>
      <c r="F114" s="24">
        <v>0</v>
      </c>
      <c r="G114" s="24">
        <v>0</v>
      </c>
      <c r="H114" s="24">
        <v>301.03488181895011</v>
      </c>
      <c r="I114" s="24">
        <v>419.60631039037861</v>
      </c>
      <c r="J114" s="25">
        <v>0.60899999999999999</v>
      </c>
      <c r="K114" s="25">
        <v>4.3999999999999997E-2</v>
      </c>
      <c r="L114" s="1">
        <v>0.6</v>
      </c>
      <c r="M114" s="1">
        <v>2</v>
      </c>
      <c r="O114" s="25">
        <v>0.97</v>
      </c>
    </row>
    <row r="115" spans="1:15" ht="13" customHeight="1">
      <c r="A115" s="22">
        <v>41196</v>
      </c>
      <c r="B115" s="23">
        <v>0.72916666666666663</v>
      </c>
      <c r="C115" s="24">
        <v>20.9</v>
      </c>
      <c r="D115" s="24">
        <v>35.4</v>
      </c>
      <c r="E115" s="1">
        <v>0.8</v>
      </c>
      <c r="F115" s="24">
        <v>0</v>
      </c>
      <c r="G115" s="24">
        <v>0</v>
      </c>
      <c r="H115" s="24">
        <v>302.22486619341788</v>
      </c>
      <c r="I115" s="24">
        <v>415.08200905056083</v>
      </c>
      <c r="J115" s="25">
        <v>0.60899999999999999</v>
      </c>
      <c r="K115" s="25">
        <v>4.3999999999999997E-2</v>
      </c>
      <c r="L115" s="1">
        <v>0.6</v>
      </c>
      <c r="M115" s="1">
        <v>2</v>
      </c>
      <c r="O115" s="25">
        <v>0.97</v>
      </c>
    </row>
    <row r="116" spans="1:15" ht="13" customHeight="1">
      <c r="A116" s="22">
        <v>41196</v>
      </c>
      <c r="B116" s="23">
        <v>0.73611111111111116</v>
      </c>
      <c r="C116" s="24">
        <v>20.2</v>
      </c>
      <c r="D116" s="24">
        <v>38.299999999999997</v>
      </c>
      <c r="E116" s="1">
        <v>0.3</v>
      </c>
      <c r="F116" s="24">
        <v>0</v>
      </c>
      <c r="G116" s="24">
        <v>0</v>
      </c>
      <c r="H116" s="24">
        <v>297.73763007107237</v>
      </c>
      <c r="I116" s="24">
        <v>409.16620149964382</v>
      </c>
      <c r="J116" s="25">
        <v>0.60899999999999999</v>
      </c>
      <c r="K116" s="25">
        <v>4.3999999999999997E-2</v>
      </c>
      <c r="L116" s="1">
        <v>0.6</v>
      </c>
      <c r="M116" s="1">
        <v>2</v>
      </c>
      <c r="O116" s="25">
        <v>0.97</v>
      </c>
    </row>
    <row r="117" spans="1:15" ht="13" customHeight="1">
      <c r="A117" s="22">
        <v>41196</v>
      </c>
      <c r="B117" s="23">
        <v>0.74305555555555558</v>
      </c>
      <c r="C117" s="24">
        <v>19.600000000000001</v>
      </c>
      <c r="D117" s="24">
        <v>42.3</v>
      </c>
      <c r="E117" s="1">
        <v>0.4</v>
      </c>
      <c r="F117" s="24">
        <v>0</v>
      </c>
      <c r="G117" s="24">
        <v>0</v>
      </c>
      <c r="H117" s="24">
        <v>302.0946965982771</v>
      </c>
      <c r="I117" s="24">
        <v>410.66612516970571</v>
      </c>
      <c r="J117" s="25">
        <v>0.60899999999999999</v>
      </c>
      <c r="K117" s="25">
        <v>4.3999999999999997E-2</v>
      </c>
      <c r="L117" s="1">
        <v>0.6</v>
      </c>
      <c r="M117" s="1">
        <v>2</v>
      </c>
      <c r="O117" s="25">
        <v>0.97</v>
      </c>
    </row>
    <row r="118" spans="1:15" ht="13" customHeight="1">
      <c r="A118" s="22">
        <v>41196</v>
      </c>
      <c r="B118" s="23">
        <v>0.75</v>
      </c>
      <c r="C118" s="24">
        <v>19.2</v>
      </c>
      <c r="D118" s="24">
        <v>45.7</v>
      </c>
      <c r="E118" s="1">
        <v>0.3</v>
      </c>
      <c r="F118" s="24">
        <v>0</v>
      </c>
      <c r="G118" s="24">
        <v>0</v>
      </c>
      <c r="H118" s="24">
        <v>298.21868642021252</v>
      </c>
      <c r="I118" s="24">
        <v>405.36154356306969</v>
      </c>
      <c r="J118" s="25">
        <v>0.60899999999999999</v>
      </c>
      <c r="K118" s="25">
        <v>4.3999999999999997E-2</v>
      </c>
      <c r="L118" s="1">
        <v>0.6</v>
      </c>
      <c r="M118" s="1">
        <v>2</v>
      </c>
      <c r="O118" s="25">
        <v>0.97</v>
      </c>
    </row>
    <row r="119" spans="1:15" ht="13" customHeight="1">
      <c r="A119" s="22">
        <v>41196</v>
      </c>
      <c r="B119" s="23">
        <v>0.75694444444444442</v>
      </c>
      <c r="C119" s="24">
        <v>18.5</v>
      </c>
      <c r="D119" s="24">
        <v>48</v>
      </c>
      <c r="E119" s="1">
        <v>0.3</v>
      </c>
      <c r="F119" s="24">
        <v>0</v>
      </c>
      <c r="G119" s="24">
        <v>0</v>
      </c>
      <c r="H119" s="24">
        <v>298.65638083710661</v>
      </c>
      <c r="I119" s="24">
        <v>405.79923797996372</v>
      </c>
      <c r="J119" s="25">
        <v>0.60899999999999999</v>
      </c>
      <c r="K119" s="25">
        <v>4.3999999999999997E-2</v>
      </c>
      <c r="L119" s="1">
        <v>0.6</v>
      </c>
      <c r="M119" s="1">
        <v>2</v>
      </c>
      <c r="O119" s="25">
        <v>0.97</v>
      </c>
    </row>
    <row r="120" spans="1:15" ht="13" customHeight="1">
      <c r="A120" s="22">
        <v>41196</v>
      </c>
      <c r="B120" s="23">
        <v>0.76388888888888884</v>
      </c>
      <c r="C120" s="24">
        <v>17.8</v>
      </c>
      <c r="D120" s="24">
        <v>50.6</v>
      </c>
      <c r="E120" s="1">
        <v>0.3</v>
      </c>
      <c r="F120" s="24">
        <v>0</v>
      </c>
      <c r="G120" s="24">
        <v>0</v>
      </c>
      <c r="H120" s="24">
        <v>295.92485730267191</v>
      </c>
      <c r="I120" s="24">
        <v>400.21057158838619</v>
      </c>
      <c r="J120" s="25">
        <v>0.60899999999999999</v>
      </c>
      <c r="K120" s="25">
        <v>4.3999999999999997E-2</v>
      </c>
      <c r="L120" s="1">
        <v>0.6</v>
      </c>
      <c r="M120" s="1">
        <v>2</v>
      </c>
      <c r="O120" s="25">
        <v>0.97</v>
      </c>
    </row>
    <row r="121" spans="1:15" ht="13" customHeight="1">
      <c r="A121" s="22">
        <v>41196</v>
      </c>
      <c r="B121" s="23">
        <v>0.77083333333333337</v>
      </c>
      <c r="C121" s="24">
        <v>17.100000000000001</v>
      </c>
      <c r="D121" s="24">
        <v>55.6</v>
      </c>
      <c r="E121" s="1">
        <v>0.5</v>
      </c>
      <c r="F121" s="24">
        <v>0</v>
      </c>
      <c r="G121" s="24">
        <v>0</v>
      </c>
      <c r="H121" s="24">
        <v>295.17840941768048</v>
      </c>
      <c r="I121" s="24">
        <v>398.03555227482337</v>
      </c>
      <c r="J121" s="25">
        <v>0.60899999999999999</v>
      </c>
      <c r="K121" s="25">
        <v>4.3999999999999997E-2</v>
      </c>
      <c r="L121" s="1">
        <v>0.6</v>
      </c>
      <c r="M121" s="1">
        <v>2</v>
      </c>
      <c r="O121" s="25">
        <v>0.97</v>
      </c>
    </row>
    <row r="122" spans="1:15" ht="13" customHeight="1">
      <c r="A122" s="22">
        <v>41196</v>
      </c>
      <c r="B122" s="23">
        <v>0.77777777777777779</v>
      </c>
      <c r="C122" s="24">
        <v>17</v>
      </c>
      <c r="D122" s="24">
        <v>55.4</v>
      </c>
      <c r="E122" s="1">
        <v>0.5</v>
      </c>
      <c r="F122" s="24">
        <v>0</v>
      </c>
      <c r="G122" s="24">
        <v>0</v>
      </c>
      <c r="H122" s="24">
        <v>293.55307816590118</v>
      </c>
      <c r="I122" s="24">
        <v>394.98164959447269</v>
      </c>
      <c r="J122" s="25">
        <v>0.60899999999999999</v>
      </c>
      <c r="K122" s="25">
        <v>4.3999999999999997E-2</v>
      </c>
      <c r="L122" s="1">
        <v>0.6</v>
      </c>
      <c r="M122" s="1">
        <v>2</v>
      </c>
      <c r="O122" s="25">
        <v>0.97</v>
      </c>
    </row>
    <row r="123" spans="1:15" ht="13" customHeight="1">
      <c r="A123" s="22">
        <v>41196</v>
      </c>
      <c r="B123" s="23">
        <v>0.78472222222222221</v>
      </c>
      <c r="C123" s="24">
        <v>16.8</v>
      </c>
      <c r="D123" s="24">
        <v>57.6</v>
      </c>
      <c r="E123" s="1">
        <v>0.4</v>
      </c>
      <c r="F123" s="24">
        <v>0</v>
      </c>
      <c r="G123" s="24">
        <v>0</v>
      </c>
      <c r="H123" s="24">
        <v>295.67957497570012</v>
      </c>
      <c r="I123" s="24">
        <v>394.25100354712868</v>
      </c>
      <c r="J123" s="25">
        <v>0.60899999999999999</v>
      </c>
      <c r="K123" s="25">
        <v>4.3999999999999997E-2</v>
      </c>
      <c r="L123" s="1">
        <v>0.6</v>
      </c>
      <c r="M123" s="1">
        <v>2</v>
      </c>
      <c r="O123" s="25">
        <v>0.97</v>
      </c>
    </row>
    <row r="124" spans="1:15" ht="13" customHeight="1">
      <c r="A124" s="22">
        <v>41196</v>
      </c>
      <c r="B124" s="23">
        <v>0.79166666666666663</v>
      </c>
      <c r="C124" s="24">
        <v>16.5</v>
      </c>
      <c r="D124" s="24">
        <v>57.1</v>
      </c>
      <c r="E124" s="1">
        <v>0.3</v>
      </c>
      <c r="F124" s="24">
        <v>0</v>
      </c>
      <c r="G124" s="24">
        <v>0</v>
      </c>
      <c r="H124" s="24">
        <v>295.49463774198318</v>
      </c>
      <c r="I124" s="24">
        <v>392.63749488484041</v>
      </c>
      <c r="J124" s="25">
        <v>0.60899999999999999</v>
      </c>
      <c r="K124" s="25">
        <v>4.3999999999999997E-2</v>
      </c>
      <c r="L124" s="1">
        <v>0.6</v>
      </c>
      <c r="M124" s="1">
        <v>2</v>
      </c>
      <c r="O124" s="25">
        <v>0.97</v>
      </c>
    </row>
    <row r="125" spans="1:15" ht="13" customHeight="1">
      <c r="A125" s="22">
        <v>41196</v>
      </c>
      <c r="B125" s="23">
        <v>0.79861111111111116</v>
      </c>
      <c r="C125" s="24">
        <v>16.2</v>
      </c>
      <c r="D125" s="24">
        <v>61.3</v>
      </c>
      <c r="E125" s="1">
        <v>0.4</v>
      </c>
      <c r="F125" s="24">
        <v>0</v>
      </c>
      <c r="G125" s="24">
        <v>0</v>
      </c>
      <c r="H125" s="24">
        <v>291.02903544535212</v>
      </c>
      <c r="I125" s="24">
        <v>389.60046401678062</v>
      </c>
      <c r="J125" s="25">
        <v>0.60899999999999999</v>
      </c>
      <c r="K125" s="25">
        <v>4.3999999999999997E-2</v>
      </c>
      <c r="L125" s="1">
        <v>0.6</v>
      </c>
      <c r="M125" s="1">
        <v>2</v>
      </c>
      <c r="O125" s="25">
        <v>0.97</v>
      </c>
    </row>
    <row r="126" spans="1:15" ht="13" customHeight="1">
      <c r="A126" s="22">
        <v>41196</v>
      </c>
      <c r="B126" s="23">
        <v>0.80555555555555558</v>
      </c>
      <c r="C126" s="24">
        <v>16</v>
      </c>
      <c r="D126" s="24">
        <v>61.5</v>
      </c>
      <c r="E126" s="1">
        <v>0.5</v>
      </c>
      <c r="F126" s="24">
        <v>0</v>
      </c>
      <c r="G126" s="24">
        <v>0</v>
      </c>
      <c r="H126" s="24">
        <v>292.28275754096722</v>
      </c>
      <c r="I126" s="24">
        <v>389.42561468382428</v>
      </c>
      <c r="J126" s="25">
        <v>0.60899999999999999</v>
      </c>
      <c r="K126" s="25">
        <v>4.3999999999999997E-2</v>
      </c>
      <c r="L126" s="1">
        <v>0.6</v>
      </c>
      <c r="M126" s="1">
        <v>2</v>
      </c>
      <c r="O126" s="25">
        <v>0.97</v>
      </c>
    </row>
    <row r="127" spans="1:15" ht="13" customHeight="1">
      <c r="A127" s="22">
        <v>41196</v>
      </c>
      <c r="B127" s="23">
        <v>0.8125</v>
      </c>
      <c r="C127" s="24">
        <v>15.7</v>
      </c>
      <c r="D127" s="24">
        <v>63.2</v>
      </c>
      <c r="E127" s="1">
        <v>0.4</v>
      </c>
      <c r="F127" s="24">
        <v>0</v>
      </c>
      <c r="G127" s="24">
        <v>0</v>
      </c>
      <c r="H127" s="24">
        <v>296.03511612474222</v>
      </c>
      <c r="I127" s="24">
        <v>390.32083041045638</v>
      </c>
      <c r="J127" s="25">
        <v>0.60899999999999999</v>
      </c>
      <c r="K127" s="25">
        <v>4.3999999999999997E-2</v>
      </c>
      <c r="L127" s="1">
        <v>0.6</v>
      </c>
      <c r="M127" s="1">
        <v>2</v>
      </c>
      <c r="O127" s="25">
        <v>0.97</v>
      </c>
    </row>
    <row r="128" spans="1:15" ht="13" customHeight="1">
      <c r="A128" s="22">
        <v>41196</v>
      </c>
      <c r="B128" s="23">
        <v>0.81944444444444442</v>
      </c>
      <c r="C128" s="24">
        <v>15.5</v>
      </c>
      <c r="D128" s="24">
        <v>64</v>
      </c>
      <c r="E128" s="1">
        <v>0.7</v>
      </c>
      <c r="F128" s="24">
        <v>0</v>
      </c>
      <c r="G128" s="24">
        <v>0</v>
      </c>
      <c r="H128" s="24">
        <v>293.71132896953861</v>
      </c>
      <c r="I128" s="24">
        <v>385.13990039811</v>
      </c>
      <c r="J128" s="25">
        <v>0.60899999999999999</v>
      </c>
      <c r="K128" s="25">
        <v>4.3999999999999997E-2</v>
      </c>
      <c r="L128" s="1">
        <v>0.6</v>
      </c>
      <c r="M128" s="1">
        <v>2</v>
      </c>
      <c r="O128" s="25">
        <v>0.97</v>
      </c>
    </row>
    <row r="129" spans="1:15" ht="13" customHeight="1">
      <c r="A129" s="22">
        <v>41196</v>
      </c>
      <c r="B129" s="23">
        <v>0.82638888888888884</v>
      </c>
      <c r="C129" s="24">
        <v>15.5</v>
      </c>
      <c r="D129" s="24">
        <v>63.9</v>
      </c>
      <c r="E129" s="1">
        <v>0.6</v>
      </c>
      <c r="F129" s="24">
        <v>0</v>
      </c>
      <c r="G129" s="24">
        <v>0</v>
      </c>
      <c r="H129" s="24">
        <v>291.21660442981101</v>
      </c>
      <c r="I129" s="24">
        <v>384.07374728695379</v>
      </c>
      <c r="J129" s="25">
        <v>0.60899999999999999</v>
      </c>
      <c r="K129" s="25">
        <v>4.3999999999999997E-2</v>
      </c>
      <c r="L129" s="1">
        <v>0.6</v>
      </c>
      <c r="M129" s="1">
        <v>2</v>
      </c>
      <c r="O129" s="25">
        <v>0.97</v>
      </c>
    </row>
    <row r="130" spans="1:15" ht="13" customHeight="1">
      <c r="A130" s="22">
        <v>41196</v>
      </c>
      <c r="B130" s="23">
        <v>0.83333333333333337</v>
      </c>
      <c r="C130" s="24">
        <v>15.4</v>
      </c>
      <c r="D130" s="24">
        <v>64.3</v>
      </c>
      <c r="E130" s="1">
        <v>0.6</v>
      </c>
      <c r="F130" s="24">
        <v>0</v>
      </c>
      <c r="G130" s="24">
        <v>0</v>
      </c>
      <c r="H130" s="24">
        <v>291.74940183902788</v>
      </c>
      <c r="I130" s="24">
        <v>381.74940183902788</v>
      </c>
      <c r="J130" s="25">
        <v>0.60899999999999999</v>
      </c>
      <c r="K130" s="25">
        <v>4.3999999999999997E-2</v>
      </c>
      <c r="L130" s="1">
        <v>0.6</v>
      </c>
      <c r="M130" s="1">
        <v>2</v>
      </c>
      <c r="O130" s="25">
        <v>0.97</v>
      </c>
    </row>
    <row r="131" spans="1:15" ht="13" customHeight="1">
      <c r="A131" s="22">
        <v>41196</v>
      </c>
      <c r="B131" s="23">
        <v>0.84027777777777779</v>
      </c>
      <c r="C131" s="24">
        <v>15.5</v>
      </c>
      <c r="D131" s="24">
        <v>64.3</v>
      </c>
      <c r="E131" s="1">
        <v>0.7</v>
      </c>
      <c r="F131" s="24">
        <v>0</v>
      </c>
      <c r="G131" s="24">
        <v>0</v>
      </c>
      <c r="H131" s="24">
        <v>295.50231871552518</v>
      </c>
      <c r="I131" s="24">
        <v>382.6451758583824</v>
      </c>
      <c r="J131" s="25">
        <v>0.60899999999999999</v>
      </c>
      <c r="K131" s="25">
        <v>4.3999999999999997E-2</v>
      </c>
      <c r="L131" s="1">
        <v>0.6</v>
      </c>
      <c r="M131" s="1">
        <v>2</v>
      </c>
      <c r="O131" s="25">
        <v>0.97</v>
      </c>
    </row>
    <row r="132" spans="1:15" ht="13" customHeight="1">
      <c r="A132" s="22">
        <v>41196</v>
      </c>
      <c r="B132" s="23">
        <v>0.84722222222222221</v>
      </c>
      <c r="C132" s="24">
        <v>15.3</v>
      </c>
      <c r="D132" s="24">
        <v>64.8</v>
      </c>
      <c r="E132" s="1">
        <v>0.6</v>
      </c>
      <c r="F132" s="24">
        <v>0</v>
      </c>
      <c r="G132" s="24">
        <v>0</v>
      </c>
      <c r="H132" s="24">
        <v>302.6451758583824</v>
      </c>
      <c r="I132" s="24">
        <v>385.50231871552518</v>
      </c>
      <c r="J132" s="25">
        <v>0.60899999999999999</v>
      </c>
      <c r="K132" s="25">
        <v>4.3999999999999997E-2</v>
      </c>
      <c r="L132" s="1">
        <v>0.6</v>
      </c>
      <c r="M132" s="1">
        <v>2</v>
      </c>
      <c r="O132" s="25">
        <v>0.97</v>
      </c>
    </row>
    <row r="133" spans="1:15" ht="13" customHeight="1">
      <c r="A133" s="22">
        <v>41196</v>
      </c>
      <c r="B133" s="23">
        <v>0.85416666666666663</v>
      </c>
      <c r="C133" s="24">
        <v>15.3</v>
      </c>
      <c r="D133" s="24">
        <v>64.599999999999994</v>
      </c>
      <c r="E133" s="1">
        <v>0.7</v>
      </c>
      <c r="F133" s="24">
        <v>0</v>
      </c>
      <c r="G133" s="24">
        <v>0</v>
      </c>
      <c r="H133" s="24">
        <v>299.25579349501248</v>
      </c>
      <c r="I133" s="24">
        <v>383.54150778072682</v>
      </c>
      <c r="J133" s="25">
        <v>0.60899999999999999</v>
      </c>
      <c r="K133" s="25">
        <v>4.3999999999999997E-2</v>
      </c>
      <c r="L133" s="1">
        <v>0.6</v>
      </c>
      <c r="M133" s="1">
        <v>2</v>
      </c>
      <c r="O133" s="25">
        <v>0.97</v>
      </c>
    </row>
    <row r="134" spans="1:15" ht="13" customHeight="1">
      <c r="A134" s="22">
        <v>41196</v>
      </c>
      <c r="B134" s="23">
        <v>0.86111111111111116</v>
      </c>
      <c r="C134" s="24">
        <v>15.1</v>
      </c>
      <c r="D134" s="24">
        <v>66.3</v>
      </c>
      <c r="E134" s="1">
        <v>0.4</v>
      </c>
      <c r="F134" s="24">
        <v>0</v>
      </c>
      <c r="G134" s="24">
        <v>0</v>
      </c>
      <c r="H134" s="24">
        <v>299.98954956724322</v>
      </c>
      <c r="I134" s="24">
        <v>382.84669242438599</v>
      </c>
      <c r="J134" s="25">
        <v>0.60899999999999999</v>
      </c>
      <c r="K134" s="25">
        <v>4.3999999999999997E-2</v>
      </c>
      <c r="L134" s="1">
        <v>0.6</v>
      </c>
      <c r="M134" s="1">
        <v>2</v>
      </c>
      <c r="O134" s="25">
        <v>0.97</v>
      </c>
    </row>
    <row r="135" spans="1:15" ht="13" customHeight="1">
      <c r="A135" s="22">
        <v>41196</v>
      </c>
      <c r="B135" s="23">
        <v>0.86805555555555558</v>
      </c>
      <c r="C135" s="24">
        <v>14.8</v>
      </c>
      <c r="D135" s="24">
        <v>68.400000000000006</v>
      </c>
      <c r="E135" s="1">
        <v>0.4</v>
      </c>
      <c r="F135" s="24">
        <v>0</v>
      </c>
      <c r="G135" s="24">
        <v>0</v>
      </c>
      <c r="H135" s="24">
        <v>298.03152230615899</v>
      </c>
      <c r="I135" s="24">
        <v>378.03152230615899</v>
      </c>
      <c r="J135" s="25">
        <v>0.60899999999999999</v>
      </c>
      <c r="K135" s="25">
        <v>4.3999999999999997E-2</v>
      </c>
      <c r="L135" s="1">
        <v>0.6</v>
      </c>
      <c r="M135" s="1">
        <v>2</v>
      </c>
      <c r="O135" s="25">
        <v>0.97</v>
      </c>
    </row>
    <row r="136" spans="1:15" ht="13" customHeight="1">
      <c r="A136" s="22">
        <v>41196</v>
      </c>
      <c r="B136" s="23">
        <v>0.875</v>
      </c>
      <c r="C136" s="24">
        <v>14.6</v>
      </c>
      <c r="D136" s="24">
        <v>69.5</v>
      </c>
      <c r="E136" s="1">
        <v>0.3</v>
      </c>
      <c r="F136" s="24">
        <v>0</v>
      </c>
      <c r="G136" s="24">
        <v>0</v>
      </c>
      <c r="H136" s="24">
        <v>301.63353647775318</v>
      </c>
      <c r="I136" s="24">
        <v>380.20496504918168</v>
      </c>
      <c r="J136" s="25">
        <v>0.60899999999999999</v>
      </c>
      <c r="K136" s="25">
        <v>4.3999999999999997E-2</v>
      </c>
      <c r="L136" s="1">
        <v>0.6</v>
      </c>
      <c r="M136" s="1">
        <v>2</v>
      </c>
      <c r="O136" s="25">
        <v>0.97</v>
      </c>
    </row>
    <row r="137" spans="1:15" ht="13" customHeight="1">
      <c r="A137" s="22">
        <v>41196</v>
      </c>
      <c r="B137" s="23">
        <v>0.88194444444444442</v>
      </c>
      <c r="C137" s="24">
        <v>14.2</v>
      </c>
      <c r="D137" s="24">
        <v>72.099999999999994</v>
      </c>
      <c r="E137" s="1">
        <v>0.3</v>
      </c>
      <c r="F137" s="24">
        <v>0</v>
      </c>
      <c r="G137" s="24">
        <v>0</v>
      </c>
      <c r="H137" s="24">
        <v>300.58072633923013</v>
      </c>
      <c r="I137" s="24">
        <v>379.15215491065868</v>
      </c>
      <c r="J137" s="25">
        <v>0.60899999999999999</v>
      </c>
      <c r="K137" s="25">
        <v>4.3999999999999997E-2</v>
      </c>
      <c r="L137" s="1">
        <v>0.6</v>
      </c>
      <c r="M137" s="1">
        <v>2</v>
      </c>
      <c r="O137" s="25">
        <v>0.97</v>
      </c>
    </row>
    <row r="138" spans="1:15" ht="13" customHeight="1">
      <c r="A138" s="22">
        <v>41196</v>
      </c>
      <c r="B138" s="23">
        <v>0.88888888888888884</v>
      </c>
      <c r="C138" s="24">
        <v>14.1</v>
      </c>
      <c r="D138" s="24">
        <v>72.3</v>
      </c>
      <c r="E138" s="1">
        <v>0.3</v>
      </c>
      <c r="F138" s="24">
        <v>0</v>
      </c>
      <c r="G138" s="24">
        <v>0</v>
      </c>
      <c r="H138" s="24">
        <v>300.05515131922812</v>
      </c>
      <c r="I138" s="24">
        <v>377.19800846208523</v>
      </c>
      <c r="J138" s="25">
        <v>0.60899999999999999</v>
      </c>
      <c r="K138" s="25">
        <v>4.3999999999999997E-2</v>
      </c>
      <c r="L138" s="1">
        <v>0.6</v>
      </c>
      <c r="M138" s="1">
        <v>2</v>
      </c>
      <c r="O138" s="25">
        <v>0.97</v>
      </c>
    </row>
    <row r="139" spans="1:15" ht="13" customHeight="1">
      <c r="A139" s="22">
        <v>41196</v>
      </c>
      <c r="B139" s="23">
        <v>0.89583333333333337</v>
      </c>
      <c r="C139" s="24">
        <v>14.1</v>
      </c>
      <c r="D139" s="24">
        <v>71.900000000000006</v>
      </c>
      <c r="E139" s="1">
        <v>0.3</v>
      </c>
      <c r="F139" s="24">
        <v>0</v>
      </c>
      <c r="G139" s="24">
        <v>0</v>
      </c>
      <c r="H139" s="24">
        <v>300.95870057664013</v>
      </c>
      <c r="I139" s="24">
        <v>378.10155771949718</v>
      </c>
      <c r="J139" s="25">
        <v>0.60899999999999999</v>
      </c>
      <c r="K139" s="25">
        <v>4.3999999999999997E-2</v>
      </c>
      <c r="L139" s="1">
        <v>0.6</v>
      </c>
      <c r="M139" s="1">
        <v>2</v>
      </c>
      <c r="O139" s="25">
        <v>0.97</v>
      </c>
    </row>
    <row r="140" spans="1:15" ht="13" customHeight="1">
      <c r="A140" s="22">
        <v>41196</v>
      </c>
      <c r="B140" s="23">
        <v>0.90277777777777779</v>
      </c>
      <c r="C140" s="24">
        <v>14</v>
      </c>
      <c r="D140" s="24">
        <v>73</v>
      </c>
      <c r="E140" s="1">
        <v>0.3</v>
      </c>
      <c r="F140" s="24">
        <v>0</v>
      </c>
      <c r="G140" s="24">
        <v>0</v>
      </c>
      <c r="H140" s="24">
        <v>302.76745608681517</v>
      </c>
      <c r="I140" s="24">
        <v>375.62459894395812</v>
      </c>
      <c r="J140" s="25">
        <v>0.60899999999999999</v>
      </c>
      <c r="K140" s="25">
        <v>4.3999999999999997E-2</v>
      </c>
      <c r="L140" s="1">
        <v>0.6</v>
      </c>
      <c r="M140" s="1">
        <v>2</v>
      </c>
      <c r="O140" s="25">
        <v>0.97</v>
      </c>
    </row>
    <row r="141" spans="1:15" ht="13" customHeight="1">
      <c r="A141" s="22">
        <v>41196</v>
      </c>
      <c r="B141" s="23">
        <v>0.90972222222222221</v>
      </c>
      <c r="C141" s="24">
        <v>13.7</v>
      </c>
      <c r="D141" s="24">
        <v>74.7</v>
      </c>
      <c r="E141" s="1">
        <v>0.3</v>
      </c>
      <c r="F141" s="24">
        <v>1.428571428571429</v>
      </c>
      <c r="G141" s="24">
        <v>0</v>
      </c>
      <c r="H141" s="24">
        <v>303.67266156433038</v>
      </c>
      <c r="I141" s="24">
        <v>375.10123299290183</v>
      </c>
      <c r="J141" s="25">
        <v>0.60899999999999999</v>
      </c>
      <c r="K141" s="25">
        <v>4.3999999999999997E-2</v>
      </c>
      <c r="L141" s="1">
        <v>0.6</v>
      </c>
      <c r="M141" s="1">
        <v>2</v>
      </c>
      <c r="O141" s="25">
        <v>0.97</v>
      </c>
    </row>
    <row r="142" spans="1:15" ht="13" customHeight="1">
      <c r="A142" s="22">
        <v>41196</v>
      </c>
      <c r="B142" s="23">
        <v>0.91666666666666663</v>
      </c>
      <c r="C142" s="24">
        <v>13.6</v>
      </c>
      <c r="D142" s="24">
        <v>75.099999999999994</v>
      </c>
      <c r="E142" s="1">
        <v>0.3</v>
      </c>
      <c r="F142" s="24">
        <v>2.8571428571428572</v>
      </c>
      <c r="G142" s="24">
        <v>0</v>
      </c>
      <c r="H142" s="24">
        <v>305.10123299290183</v>
      </c>
      <c r="I142" s="24">
        <v>376.52980442147322</v>
      </c>
      <c r="J142" s="25">
        <v>0.60899999999999999</v>
      </c>
      <c r="K142" s="25">
        <v>4.3999999999999997E-2</v>
      </c>
      <c r="L142" s="1">
        <v>0.6</v>
      </c>
      <c r="M142" s="1">
        <v>2</v>
      </c>
      <c r="O142" s="25">
        <v>0.97</v>
      </c>
    </row>
    <row r="143" spans="1:15" ht="13" customHeight="1">
      <c r="A143" s="22">
        <v>41196</v>
      </c>
      <c r="B143" s="23">
        <v>0.92361111111111116</v>
      </c>
      <c r="C143" s="24">
        <v>13.6</v>
      </c>
      <c r="D143" s="24">
        <v>75.599999999999994</v>
      </c>
      <c r="E143" s="1">
        <v>0.4</v>
      </c>
      <c r="F143" s="24">
        <v>0</v>
      </c>
      <c r="G143" s="24">
        <v>0</v>
      </c>
      <c r="H143" s="24">
        <v>302.24409013575888</v>
      </c>
      <c r="I143" s="24">
        <v>373.67266156433038</v>
      </c>
      <c r="J143" s="25">
        <v>0.60899999999999999</v>
      </c>
      <c r="K143" s="25">
        <v>4.3999999999999997E-2</v>
      </c>
      <c r="L143" s="1">
        <v>0.6</v>
      </c>
      <c r="M143" s="1">
        <v>2</v>
      </c>
      <c r="O143" s="25">
        <v>0.97</v>
      </c>
    </row>
    <row r="144" spans="1:15" ht="13" customHeight="1">
      <c r="A144" s="22">
        <v>41196</v>
      </c>
      <c r="B144" s="23">
        <v>0.93055555555555558</v>
      </c>
      <c r="C144" s="24">
        <v>13.7</v>
      </c>
      <c r="D144" s="24">
        <v>75</v>
      </c>
      <c r="E144" s="1">
        <v>0.3</v>
      </c>
      <c r="F144" s="24">
        <v>0</v>
      </c>
      <c r="G144" s="24">
        <v>0</v>
      </c>
      <c r="H144" s="24">
        <v>307.95837585004472</v>
      </c>
      <c r="I144" s="24">
        <v>379.38694727861611</v>
      </c>
      <c r="J144" s="25">
        <v>0.60899999999999999</v>
      </c>
      <c r="K144" s="25">
        <v>4.3999999999999997E-2</v>
      </c>
      <c r="L144" s="1">
        <v>0.6</v>
      </c>
      <c r="M144" s="1">
        <v>2</v>
      </c>
      <c r="O144" s="25">
        <v>0.97</v>
      </c>
    </row>
    <row r="145" spans="1:15" ht="13" customHeight="1">
      <c r="A145" s="22">
        <v>41196</v>
      </c>
      <c r="B145" s="23">
        <v>0.9375</v>
      </c>
      <c r="C145" s="24">
        <v>13.8</v>
      </c>
      <c r="D145" s="24">
        <v>75.7</v>
      </c>
      <c r="E145" s="1">
        <v>0.3</v>
      </c>
      <c r="F145" s="24">
        <v>0</v>
      </c>
      <c r="G145" s="24">
        <v>0</v>
      </c>
      <c r="H145" s="24">
        <v>309.9103132296724</v>
      </c>
      <c r="I145" s="24">
        <v>377.05317037252951</v>
      </c>
      <c r="J145" s="25">
        <v>0.60899999999999999</v>
      </c>
      <c r="K145" s="25">
        <v>4.3999999999999997E-2</v>
      </c>
      <c r="L145" s="1">
        <v>0.6</v>
      </c>
      <c r="M145" s="1">
        <v>2</v>
      </c>
      <c r="O145" s="25">
        <v>0.97</v>
      </c>
    </row>
    <row r="146" spans="1:15" ht="13" customHeight="1">
      <c r="A146" s="22">
        <v>41196</v>
      </c>
      <c r="B146" s="23">
        <v>0.94444444444444442</v>
      </c>
      <c r="C146" s="24">
        <v>13.8</v>
      </c>
      <c r="D146" s="24">
        <v>75.900000000000006</v>
      </c>
      <c r="E146" s="1">
        <v>0.3</v>
      </c>
      <c r="F146" s="24">
        <v>0</v>
      </c>
      <c r="G146" s="24">
        <v>0</v>
      </c>
      <c r="H146" s="24">
        <v>312.24409013575888</v>
      </c>
      <c r="I146" s="24">
        <v>373.67266156433038</v>
      </c>
      <c r="J146" s="25">
        <v>0.60899999999999999</v>
      </c>
      <c r="K146" s="25">
        <v>4.3999999999999997E-2</v>
      </c>
      <c r="L146" s="1">
        <v>0.6</v>
      </c>
      <c r="M146" s="1">
        <v>2</v>
      </c>
      <c r="O146" s="25">
        <v>0.97</v>
      </c>
    </row>
    <row r="147" spans="1:15" ht="13" customHeight="1">
      <c r="A147" s="22">
        <v>41196</v>
      </c>
      <c r="B147" s="23">
        <v>0.95138888888888884</v>
      </c>
      <c r="C147" s="24">
        <v>13.5</v>
      </c>
      <c r="D147" s="24">
        <v>77.900000000000006</v>
      </c>
      <c r="E147" s="1">
        <v>0.3</v>
      </c>
      <c r="F147" s="24">
        <v>0</v>
      </c>
      <c r="G147" s="24">
        <v>0</v>
      </c>
      <c r="H147" s="24">
        <v>311.19901174140352</v>
      </c>
      <c r="I147" s="24">
        <v>375.4847260271178</v>
      </c>
      <c r="J147" s="25">
        <v>0.60899999999999999</v>
      </c>
      <c r="K147" s="25">
        <v>4.3999999999999997E-2</v>
      </c>
      <c r="L147" s="1">
        <v>0.6</v>
      </c>
      <c r="M147" s="1">
        <v>2</v>
      </c>
      <c r="O147" s="25">
        <v>0.97</v>
      </c>
    </row>
    <row r="148" spans="1:15" ht="13" customHeight="1">
      <c r="A148" s="22">
        <v>41196</v>
      </c>
      <c r="B148" s="23">
        <v>0.95833333333333337</v>
      </c>
      <c r="C148" s="24">
        <v>13.3</v>
      </c>
      <c r="D148" s="24">
        <v>79</v>
      </c>
      <c r="E148" s="1">
        <v>0.2</v>
      </c>
      <c r="F148" s="24">
        <v>0</v>
      </c>
      <c r="G148" s="24">
        <v>0</v>
      </c>
      <c r="H148" s="24">
        <v>313.53444138081568</v>
      </c>
      <c r="I148" s="24">
        <v>373.53444138081568</v>
      </c>
      <c r="J148" s="25">
        <v>0.60899999999999999</v>
      </c>
      <c r="K148" s="25">
        <v>4.3999999999999997E-2</v>
      </c>
      <c r="L148" s="1">
        <v>0.6</v>
      </c>
      <c r="M148" s="1">
        <v>2</v>
      </c>
      <c r="O148" s="25">
        <v>0.97</v>
      </c>
    </row>
    <row r="149" spans="1:15" ht="13" customHeight="1">
      <c r="A149" s="22">
        <v>41196</v>
      </c>
      <c r="B149" s="23">
        <v>0.96527777777777779</v>
      </c>
      <c r="C149" s="24">
        <v>13.2</v>
      </c>
      <c r="D149" s="24">
        <v>79.3</v>
      </c>
      <c r="E149" s="1">
        <v>0.3</v>
      </c>
      <c r="F149" s="24">
        <v>0</v>
      </c>
      <c r="G149" s="24">
        <v>0</v>
      </c>
      <c r="H149" s="24">
        <v>310.6772985236729</v>
      </c>
      <c r="I149" s="24">
        <v>374.96301280938718</v>
      </c>
      <c r="J149" s="25">
        <v>0.60899999999999999</v>
      </c>
      <c r="K149" s="25">
        <v>4.3999999999999997E-2</v>
      </c>
      <c r="L149" s="1">
        <v>0.6</v>
      </c>
      <c r="M149" s="1">
        <v>2</v>
      </c>
      <c r="O149" s="25">
        <v>0.97</v>
      </c>
    </row>
    <row r="150" spans="1:15" ht="13" customHeight="1">
      <c r="A150" s="22">
        <v>41196</v>
      </c>
      <c r="B150" s="23">
        <v>0.97222222222222221</v>
      </c>
      <c r="C150" s="24">
        <v>13.2</v>
      </c>
      <c r="D150" s="24">
        <v>80.099999999999994</v>
      </c>
      <c r="E150" s="1">
        <v>0.4</v>
      </c>
      <c r="F150" s="24">
        <v>0</v>
      </c>
      <c r="G150" s="24">
        <v>0</v>
      </c>
      <c r="H150" s="24">
        <v>303.53444138081579</v>
      </c>
      <c r="I150" s="24">
        <v>373.53444138081568</v>
      </c>
      <c r="J150" s="25">
        <v>0.60899999999999999</v>
      </c>
      <c r="K150" s="25">
        <v>4.3999999999999997E-2</v>
      </c>
      <c r="L150" s="1">
        <v>0.6</v>
      </c>
      <c r="M150" s="1">
        <v>2</v>
      </c>
      <c r="O150" s="25">
        <v>0.97</v>
      </c>
    </row>
    <row r="151" spans="1:15" ht="13" customHeight="1">
      <c r="A151" s="22">
        <v>41196</v>
      </c>
      <c r="B151" s="23">
        <v>0.97916666666666663</v>
      </c>
      <c r="C151" s="24">
        <v>13.6</v>
      </c>
      <c r="D151" s="24">
        <v>80</v>
      </c>
      <c r="E151" s="1">
        <v>0.4</v>
      </c>
      <c r="F151" s="24">
        <v>4.2857142857142856</v>
      </c>
      <c r="G151" s="24">
        <v>0</v>
      </c>
      <c r="H151" s="24">
        <v>307.95837585004472</v>
      </c>
      <c r="I151" s="24">
        <v>376.52980442147322</v>
      </c>
      <c r="J151" s="25">
        <v>0.60899999999999999</v>
      </c>
      <c r="K151" s="25">
        <v>4.3999999999999997E-2</v>
      </c>
      <c r="L151" s="1">
        <v>0.6</v>
      </c>
      <c r="M151" s="1">
        <v>2</v>
      </c>
      <c r="O151" s="25">
        <v>0.97</v>
      </c>
    </row>
    <row r="152" spans="1:15" ht="13" customHeight="1">
      <c r="A152" s="22">
        <v>41196</v>
      </c>
      <c r="B152" s="23">
        <v>0.98611111111111116</v>
      </c>
      <c r="C152" s="24">
        <v>13.6</v>
      </c>
      <c r="D152" s="24">
        <v>80.099999999999994</v>
      </c>
      <c r="E152" s="1">
        <v>0.3</v>
      </c>
      <c r="F152" s="24">
        <v>0</v>
      </c>
      <c r="G152" s="24">
        <v>0</v>
      </c>
      <c r="H152" s="24">
        <v>307.43556119733518</v>
      </c>
      <c r="I152" s="24">
        <v>374.57841834019229</v>
      </c>
      <c r="J152" s="25">
        <v>0.60899999999999999</v>
      </c>
      <c r="K152" s="25">
        <v>4.3999999999999997E-2</v>
      </c>
      <c r="L152" s="1">
        <v>0.6</v>
      </c>
      <c r="M152" s="1">
        <v>2</v>
      </c>
      <c r="O152" s="25">
        <v>0.97</v>
      </c>
    </row>
    <row r="153" spans="1:15" ht="13" customHeight="1">
      <c r="A153" s="22">
        <v>41196</v>
      </c>
      <c r="B153" s="23">
        <v>0.99305555555555558</v>
      </c>
      <c r="C153" s="24">
        <v>13.6</v>
      </c>
      <c r="D153" s="24">
        <v>79.8</v>
      </c>
      <c r="E153" s="1">
        <v>0.2</v>
      </c>
      <c r="F153" s="24">
        <v>0</v>
      </c>
      <c r="G153" s="24">
        <v>0</v>
      </c>
      <c r="H153" s="24">
        <v>308.34186888426069</v>
      </c>
      <c r="I153" s="24">
        <v>374.05615459854641</v>
      </c>
      <c r="J153" s="25">
        <v>0.60899999999999999</v>
      </c>
      <c r="K153" s="25">
        <v>4.3999999999999997E-2</v>
      </c>
      <c r="L153" s="1">
        <v>0.6</v>
      </c>
      <c r="M153" s="1">
        <v>2</v>
      </c>
      <c r="O153" s="25">
        <v>0.97</v>
      </c>
    </row>
  </sheetData>
  <phoneticPr fontId="2"/>
  <conditionalFormatting sqref="A7">
    <cfRule type="expression" dxfId="23" priority="6" stopIfTrue="1">
      <formula>$A$6="Input directly"</formula>
    </cfRule>
    <cfRule type="expression" dxfId="22" priority="7">
      <formula>$A$6="Estimating by albedo"</formula>
    </cfRule>
  </conditionalFormatting>
  <conditionalFormatting sqref="A3:F7">
    <cfRule type="expression" dxfId="21" priority="4">
      <formula>$A$2="Exclude"</formula>
    </cfRule>
  </conditionalFormatting>
  <conditionalFormatting sqref="C7">
    <cfRule type="expression" dxfId="20" priority="5">
      <formula>$A$6="Input directly"</formula>
    </cfRule>
  </conditionalFormatting>
  <conditionalFormatting sqref="G2:K2">
    <cfRule type="expression" dxfId="19" priority="1">
      <formula>$A$2=Exclude</formula>
    </cfRule>
    <cfRule type="expression" dxfId="18" priority="2">
      <formula>$A$2="Exclude"</formula>
    </cfRule>
  </conditionalFormatting>
  <dataValidations count="9">
    <dataValidation type="list" allowBlank="1" showInputMessage="1" showErrorMessage="1" sqref="B3" xr:uid="{00000000-0002-0000-0300-000000000000}">
      <formula1>"N,S"</formula1>
    </dataValidation>
    <dataValidation type="list" allowBlank="1" showInputMessage="1" showErrorMessage="1" sqref="B4" xr:uid="{00000000-0002-0000-0300-000001000000}">
      <formula1>"E,W"</formula1>
    </dataValidation>
    <dataValidation type="list" allowBlank="1" showInputMessage="1" showErrorMessage="1" sqref="A5" xr:uid="{00000000-0002-0000-0300-000002000000}">
      <formula1>"+14,+13,+12:45,+12,+11:30,+11,+10:30,+10,+9:30,+9,+8:45,+8,+7,+6:30,+6,+5:45,+5:30,+5,+4:30,+4,+3:30,+3,+2,+1,0,-1,-2,-3,-3:30,-4,-4:30,-5,-6,-7,-8,-9,-9:30,-10,-11,-12"</formula1>
    </dataValidation>
    <dataValidation type="list" allowBlank="1" showInputMessage="1" showErrorMessage="1" sqref="G5" xr:uid="{00000000-0002-0000-0300-000003000000}">
      <formula1>"Two-node model, Kuwabara's formula"</formula1>
    </dataValidation>
    <dataValidation type="list" allowBlank="1" showInputMessage="1" showErrorMessage="1" sqref="L3" xr:uid="{00000000-0002-0000-0300-000004000000}">
      <formula1>"Input directly,Two-node model"</formula1>
    </dataValidation>
    <dataValidation type="list" allowBlank="1" showInputMessage="1" showErrorMessage="1" sqref="G6" xr:uid="{00000000-0002-0000-0300-000005000000}">
      <formula1>"Relative humidity,Wet-bulb temp,Humidity ratio,Vapor pressure"</formula1>
    </dataValidation>
    <dataValidation type="list" allowBlank="1" showInputMessage="1" showErrorMessage="1" sqref="G7" xr:uid="{00000000-0002-0000-0300-000006000000}">
      <formula1>"Ld and Lu,Mean radiant temp"</formula1>
    </dataValidation>
    <dataValidation type="list" allowBlank="1" showInputMessage="1" showErrorMessage="1" sqref="A6" xr:uid="{00000000-0002-0000-0300-000007000000}">
      <formula1>"Input directly,Estimate by albedo"</formula1>
    </dataValidation>
    <dataValidation type="list" allowBlank="1" showInputMessage="1" showErrorMessage="1" sqref="A2" xr:uid="{00000000-0002-0000-0300-000008000000}">
      <formula1>"Include,Exclude"</formula1>
    </dataValidation>
  </dataValidations>
  <pageMargins left="0.7" right="0.7" top="0.75" bottom="0.75" header="0.51200000000000001" footer="0.51200000000000001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46"/>
  <sheetViews>
    <sheetView zoomScale="70" zoomScaleNormal="70" workbookViewId="0">
      <pane ySplit="9" topLeftCell="A10" activePane="bottomLeft" state="frozenSplit"/>
      <selection activeCell="AC76" sqref="AC76"/>
      <selection pane="bottomLeft" activeCell="T13" sqref="T13"/>
    </sheetView>
  </sheetViews>
  <sheetFormatPr defaultColWidth="10.69921875" defaultRowHeight="13" customHeight="1"/>
  <cols>
    <col min="1" max="1" width="12.69921875" style="22" customWidth="1"/>
    <col min="2" max="2" width="12.69921875" style="23" customWidth="1"/>
    <col min="3" max="4" width="12.69921875" style="24" customWidth="1"/>
    <col min="5" max="5" width="12.69921875" style="1" customWidth="1"/>
    <col min="6" max="9" width="12.69921875" style="24" customWidth="1"/>
    <col min="10" max="11" width="12.69921875" style="25" customWidth="1"/>
    <col min="12" max="19" width="12.69921875" style="1" customWidth="1"/>
    <col min="20" max="16384" width="10.69921875" style="1"/>
  </cols>
  <sheetData>
    <row r="1" spans="1:43" ht="13" customHeight="1">
      <c r="A1" s="5" t="s">
        <v>0</v>
      </c>
      <c r="B1" s="5"/>
      <c r="C1" s="26"/>
      <c r="D1" s="26"/>
      <c r="E1" s="5"/>
      <c r="F1" s="26"/>
      <c r="G1" s="26"/>
      <c r="H1" s="26"/>
      <c r="I1" s="26"/>
      <c r="J1" s="27"/>
      <c r="K1" s="27"/>
      <c r="L1" s="5"/>
      <c r="M1" s="5"/>
      <c r="N1" s="5"/>
      <c r="O1" s="5"/>
      <c r="P1" s="5"/>
      <c r="Q1" s="5"/>
      <c r="R1" s="5"/>
      <c r="S1" s="5"/>
      <c r="T1" s="2"/>
      <c r="Z1" s="2"/>
    </row>
    <row r="2" spans="1:43" s="4" customFormat="1" ht="13" customHeight="1">
      <c r="A2" s="15" t="s">
        <v>1</v>
      </c>
      <c r="B2" s="16"/>
      <c r="C2" s="28" t="s">
        <v>2</v>
      </c>
      <c r="D2" s="28"/>
      <c r="E2" s="16"/>
      <c r="F2" s="28"/>
      <c r="G2" s="29">
        <v>0.97</v>
      </c>
      <c r="H2" s="28"/>
      <c r="I2" s="28" t="s">
        <v>3</v>
      </c>
      <c r="J2" s="30"/>
      <c r="K2" s="30"/>
      <c r="L2" s="29"/>
      <c r="M2" s="16"/>
      <c r="N2" s="16" t="s">
        <v>4</v>
      </c>
      <c r="O2" s="16"/>
      <c r="P2" s="16"/>
      <c r="Q2" s="16"/>
      <c r="R2" s="16"/>
      <c r="S2" s="16"/>
      <c r="T2" s="17"/>
      <c r="Z2" s="17"/>
      <c r="AD2" s="18"/>
      <c r="AK2" s="18"/>
    </row>
    <row r="3" spans="1:43" s="4" customFormat="1" ht="13" customHeight="1">
      <c r="A3" s="4">
        <v>35</v>
      </c>
      <c r="B3" s="15" t="s">
        <v>5</v>
      </c>
      <c r="C3" s="28" t="s">
        <v>6</v>
      </c>
      <c r="D3" s="28"/>
      <c r="E3" s="16"/>
      <c r="F3" s="28"/>
      <c r="G3" s="4">
        <v>1.2</v>
      </c>
      <c r="H3" s="28"/>
      <c r="I3" s="28" t="s">
        <v>7</v>
      </c>
      <c r="J3" s="30"/>
      <c r="K3" s="30"/>
      <c r="L3" s="15" t="s">
        <v>17</v>
      </c>
      <c r="M3" s="16"/>
      <c r="N3" s="16" t="s">
        <v>9</v>
      </c>
      <c r="O3" s="16"/>
      <c r="P3" s="16"/>
      <c r="Q3" s="16"/>
      <c r="R3" s="16"/>
      <c r="S3" s="16"/>
      <c r="T3" s="17"/>
      <c r="Z3" s="17"/>
      <c r="AD3" s="18"/>
      <c r="AK3" s="18"/>
    </row>
    <row r="4" spans="1:43" s="4" customFormat="1" ht="13" customHeight="1">
      <c r="A4" s="4">
        <v>135</v>
      </c>
      <c r="B4" s="15" t="s">
        <v>10</v>
      </c>
      <c r="C4" s="28" t="s">
        <v>11</v>
      </c>
      <c r="D4" s="28"/>
      <c r="E4" s="16"/>
      <c r="F4" s="28"/>
      <c r="G4" s="4">
        <v>10</v>
      </c>
      <c r="H4" s="28"/>
      <c r="I4" s="28" t="s">
        <v>12</v>
      </c>
      <c r="J4" s="30"/>
      <c r="K4" s="30"/>
      <c r="L4" s="16"/>
      <c r="M4" s="16"/>
      <c r="N4" s="16"/>
      <c r="O4" s="16"/>
      <c r="P4" s="16"/>
      <c r="Q4" s="16"/>
      <c r="R4" s="16"/>
      <c r="S4" s="16"/>
      <c r="T4" s="17"/>
      <c r="Z4" s="17"/>
      <c r="AD4" s="18"/>
      <c r="AK4" s="18"/>
    </row>
    <row r="5" spans="1:43" s="4" customFormat="1" ht="13" customHeight="1">
      <c r="A5" s="19" t="s">
        <v>13</v>
      </c>
      <c r="B5" s="16"/>
      <c r="C5" s="28" t="s">
        <v>14</v>
      </c>
      <c r="D5" s="28"/>
      <c r="E5" s="16"/>
      <c r="F5" s="28"/>
      <c r="G5" s="31" t="s">
        <v>15</v>
      </c>
      <c r="H5" s="28"/>
      <c r="I5" s="28" t="s">
        <v>16</v>
      </c>
      <c r="J5" s="30"/>
      <c r="K5" s="30"/>
      <c r="L5" s="16"/>
      <c r="M5" s="16"/>
      <c r="N5" s="16"/>
      <c r="O5" s="16"/>
      <c r="P5" s="16"/>
      <c r="Q5" s="16"/>
      <c r="R5" s="16"/>
      <c r="S5" s="16"/>
      <c r="T5" s="17"/>
      <c r="Z5" s="20"/>
    </row>
    <row r="6" spans="1:43" s="4" customFormat="1" ht="13" customHeight="1">
      <c r="A6" s="15" t="s">
        <v>17</v>
      </c>
      <c r="B6" s="16"/>
      <c r="C6" s="28" t="s">
        <v>18</v>
      </c>
      <c r="D6" s="28"/>
      <c r="E6" s="16"/>
      <c r="F6" s="28"/>
      <c r="G6" s="31" t="s">
        <v>19</v>
      </c>
      <c r="H6" s="28"/>
      <c r="I6" s="28" t="s">
        <v>20</v>
      </c>
      <c r="J6" s="30"/>
      <c r="K6" s="30"/>
      <c r="L6" s="16"/>
      <c r="M6" s="16"/>
      <c r="N6" s="16"/>
      <c r="O6" s="16"/>
      <c r="P6" s="16"/>
      <c r="Q6" s="16"/>
      <c r="R6" s="16"/>
      <c r="S6" s="16"/>
      <c r="T6" s="17"/>
      <c r="Z6" s="20"/>
    </row>
    <row r="7" spans="1:43" s="4" customFormat="1" ht="13" customHeight="1">
      <c r="A7" s="4">
        <v>0.15</v>
      </c>
      <c r="B7" s="16"/>
      <c r="C7" s="28" t="s">
        <v>21</v>
      </c>
      <c r="D7" s="28"/>
      <c r="E7" s="16"/>
      <c r="F7" s="28"/>
      <c r="G7" s="31" t="s">
        <v>22</v>
      </c>
      <c r="H7" s="28"/>
      <c r="I7" s="28" t="s">
        <v>23</v>
      </c>
      <c r="J7" s="30"/>
      <c r="K7" s="30"/>
      <c r="L7" s="16"/>
      <c r="M7" s="16"/>
      <c r="N7" s="16"/>
      <c r="O7" s="16"/>
      <c r="P7" s="16"/>
      <c r="Q7" s="16"/>
      <c r="R7" s="16"/>
      <c r="S7" s="16"/>
      <c r="T7" s="17"/>
      <c r="U7" s="17"/>
      <c r="X7" s="17"/>
      <c r="Z7" s="20"/>
      <c r="AD7" s="4" t="s">
        <v>24</v>
      </c>
      <c r="AE7" s="4" t="s">
        <v>24</v>
      </c>
      <c r="AF7" s="4" t="s">
        <v>24</v>
      </c>
      <c r="AG7" s="4" t="s">
        <v>24</v>
      </c>
      <c r="AH7" s="4" t="s">
        <v>24</v>
      </c>
      <c r="AI7" s="4" t="s">
        <v>24</v>
      </c>
      <c r="AJ7" s="4" t="s">
        <v>25</v>
      </c>
      <c r="AL7" s="4" t="s">
        <v>26</v>
      </c>
      <c r="AM7" s="4" t="s">
        <v>26</v>
      </c>
      <c r="AN7" s="4" t="s">
        <v>26</v>
      </c>
      <c r="AO7" s="4" t="s">
        <v>26</v>
      </c>
      <c r="AP7" s="4" t="s">
        <v>26</v>
      </c>
      <c r="AQ7" s="4" t="s">
        <v>26</v>
      </c>
    </row>
    <row r="8" spans="1:43" s="11" customFormat="1" ht="42" customHeight="1">
      <c r="A8" s="7" t="str">
        <f>IF(A2="Include","date","blank")</f>
        <v>date</v>
      </c>
      <c r="B8" s="7" t="str">
        <f>IF(A2="Include","time","blank")</f>
        <v>time</v>
      </c>
      <c r="C8" s="32" t="s">
        <v>27</v>
      </c>
      <c r="D8" s="33" t="str">
        <f>G6</f>
        <v>Relative humidity</v>
      </c>
      <c r="E8" s="21" t="s">
        <v>28</v>
      </c>
      <c r="F8" s="33" t="str">
        <f>IF(A2="Include","Kd","blank")</f>
        <v>Kd</v>
      </c>
      <c r="G8" s="33" t="str">
        <f>IF(AND(A2="Include",A6="Input directly"),"Ku","blank")</f>
        <v>Ku</v>
      </c>
      <c r="H8" s="33" t="str">
        <f t="array" ref="H8">_xlfn.IFS(G7="Ld and Lu","Ld",G7="Mean radiant temp","tr")</f>
        <v>Ld</v>
      </c>
      <c r="I8" s="33" t="str">
        <f>IF(G7="Ld and Lu","Lu","blank")</f>
        <v>Lu</v>
      </c>
      <c r="J8" s="34" t="str">
        <f>IF(A2="Include","Net solar absorptance of cloth: αcln","blank")</f>
        <v>Net solar absorptance of cloth: αcln</v>
      </c>
      <c r="K8" s="34" t="str">
        <f>IF(A2="Include","Net solar absorptance of skin: αskn","blank")</f>
        <v>Net solar absorptance of skin: αskn</v>
      </c>
      <c r="L8" s="6" t="s">
        <v>29</v>
      </c>
      <c r="M8" s="6" t="s">
        <v>30</v>
      </c>
      <c r="N8" s="6" t="s">
        <v>31</v>
      </c>
      <c r="O8" s="7" t="str">
        <f>IF(A2="Include","sky factor","blank")</f>
        <v>sky factor</v>
      </c>
      <c r="P8" s="7" t="str">
        <f>IF(A2="Include","Is the place shaded? (y/n) ","blank")</f>
        <v xml:space="preserve">Is the place shaded? (y/n) </v>
      </c>
      <c r="Q8" s="7" t="str">
        <f>IF(L3="Input directly","tsk","blank")</f>
        <v>tsk</v>
      </c>
      <c r="R8" s="7" t="str">
        <f>IF(L3="Input directly","wettedness","blank")</f>
        <v>wettedness</v>
      </c>
      <c r="S8" s="7" t="str">
        <f>IF(L2=0,"blank","Heat loss at contact surface")</f>
        <v>blank</v>
      </c>
      <c r="T8" s="8" t="s">
        <v>32</v>
      </c>
      <c r="U8" s="9"/>
      <c r="V8" s="10" t="s">
        <v>33</v>
      </c>
      <c r="W8" s="11" t="s">
        <v>34</v>
      </c>
      <c r="X8" s="11" t="s">
        <v>35</v>
      </c>
      <c r="Y8" s="11" t="s">
        <v>36</v>
      </c>
      <c r="Z8" s="11" t="s">
        <v>37</v>
      </c>
      <c r="AA8" s="11" t="s">
        <v>38</v>
      </c>
      <c r="AB8" s="11" t="s">
        <v>39</v>
      </c>
      <c r="AC8" s="14" t="s">
        <v>40</v>
      </c>
      <c r="AD8" s="11" t="s">
        <v>41</v>
      </c>
      <c r="AE8" s="11" t="s">
        <v>42</v>
      </c>
      <c r="AF8" s="11" t="s">
        <v>43</v>
      </c>
      <c r="AG8" s="11" t="s">
        <v>44</v>
      </c>
      <c r="AH8" s="11" t="s">
        <v>45</v>
      </c>
      <c r="AI8" s="11" t="s">
        <v>46</v>
      </c>
      <c r="AJ8" s="14" t="s">
        <v>31</v>
      </c>
      <c r="AK8" s="11" t="s">
        <v>26</v>
      </c>
      <c r="AL8" s="11" t="s">
        <v>41</v>
      </c>
      <c r="AM8" s="11" t="s">
        <v>42</v>
      </c>
      <c r="AN8" s="11" t="s">
        <v>43</v>
      </c>
      <c r="AO8" s="11" t="s">
        <v>44</v>
      </c>
      <c r="AP8" s="11" t="s">
        <v>45</v>
      </c>
      <c r="AQ8" s="11" t="s">
        <v>46</v>
      </c>
    </row>
    <row r="9" spans="1:43" s="11" customFormat="1" ht="13" customHeight="1">
      <c r="A9" s="7" t="str">
        <f>IF(A2="Include","[ymd]","")</f>
        <v>[ymd]</v>
      </c>
      <c r="B9" s="7" t="str">
        <f>IF(A2="Include","[h:m:s]","")</f>
        <v>[h:m:s]</v>
      </c>
      <c r="C9" s="32" t="s">
        <v>47</v>
      </c>
      <c r="D9" s="33" t="str">
        <f t="array" ref="D9">_xlfn.IFS(G6="Relative humidity","[%]",G6="Wet-bulb temp","[°C]",G6="Humidity ratio","[g/kg(DA)]",G6="Vapor pressure","[hPa]")</f>
        <v>[%]</v>
      </c>
      <c r="E9" s="21" t="s">
        <v>48</v>
      </c>
      <c r="F9" s="33" t="str">
        <f>IF(A2="Include","[W/m2]","")</f>
        <v>[W/m2]</v>
      </c>
      <c r="G9" s="33" t="str">
        <f>IF(AND(A2="Include",A6="Input directly"),"[W/m2]","")</f>
        <v>[W/m2]</v>
      </c>
      <c r="H9" s="33" t="str">
        <f t="array" ref="H9">_xlfn.IFS(G7="Ld and Lu","[W/m2]",G7="Mean radiant temp","[°C]")</f>
        <v>[W/m2]</v>
      </c>
      <c r="I9" s="33" t="str">
        <f>IF(G7="Ld and Lu","[W/m2]","")</f>
        <v>[W/m2]</v>
      </c>
      <c r="J9" s="34" t="str">
        <f>IF(A2="Include","[-]","")</f>
        <v>[-]</v>
      </c>
      <c r="K9" s="34" t="str">
        <f>IF(A2="Include","[-]","")</f>
        <v>[-]</v>
      </c>
      <c r="L9" s="6" t="s">
        <v>49</v>
      </c>
      <c r="M9" s="6" t="s">
        <v>50</v>
      </c>
      <c r="N9" s="6" t="s">
        <v>47</v>
      </c>
      <c r="O9" s="7" t="str">
        <f>IF(A2="Include","[-]","")</f>
        <v>[-]</v>
      </c>
      <c r="P9" s="7" t="str">
        <f>IF(A2="Include","[-]","")</f>
        <v>[-]</v>
      </c>
      <c r="Q9" s="7" t="str">
        <f>IF(L3="Input directly","[°C]","")</f>
        <v>[°C]</v>
      </c>
      <c r="R9" s="7" t="str">
        <f>IF(L3="Input directly","[-]","")</f>
        <v>[-]</v>
      </c>
      <c r="S9" s="7" t="str">
        <f>IF(L2=0,"","[W/m2]")</f>
        <v/>
      </c>
      <c r="T9" s="12" t="s">
        <v>51</v>
      </c>
      <c r="V9" s="13" t="s">
        <v>52</v>
      </c>
      <c r="W9" s="13"/>
      <c r="X9" s="11" t="s">
        <v>47</v>
      </c>
      <c r="Y9" s="11" t="s">
        <v>47</v>
      </c>
      <c r="Z9" s="11" t="s">
        <v>47</v>
      </c>
      <c r="AA9" s="11" t="s">
        <v>53</v>
      </c>
      <c r="AB9" s="11" t="s">
        <v>54</v>
      </c>
      <c r="AC9" s="11" t="s">
        <v>47</v>
      </c>
      <c r="AD9" s="11" t="s">
        <v>47</v>
      </c>
      <c r="AE9" s="11" t="s">
        <v>47</v>
      </c>
      <c r="AF9" s="11" t="s">
        <v>47</v>
      </c>
      <c r="AG9" s="11" t="s">
        <v>47</v>
      </c>
      <c r="AH9" s="11" t="s">
        <v>47</v>
      </c>
      <c r="AI9" s="11" t="s">
        <v>47</v>
      </c>
      <c r="AJ9" s="11" t="s">
        <v>47</v>
      </c>
      <c r="AK9" s="11" t="s">
        <v>47</v>
      </c>
      <c r="AL9" s="11" t="s">
        <v>47</v>
      </c>
      <c r="AM9" s="11" t="s">
        <v>47</v>
      </c>
      <c r="AN9" s="11" t="s">
        <v>47</v>
      </c>
      <c r="AO9" s="11" t="s">
        <v>47</v>
      </c>
      <c r="AP9" s="11" t="s">
        <v>47</v>
      </c>
      <c r="AQ9" s="11" t="s">
        <v>47</v>
      </c>
    </row>
    <row r="10" spans="1:43" ht="13" customHeight="1">
      <c r="A10" s="3">
        <v>41142</v>
      </c>
      <c r="B10" s="23">
        <v>0.74305555555555558</v>
      </c>
      <c r="C10" s="35">
        <v>33.136000000000003</v>
      </c>
      <c r="D10" s="24">
        <v>49.787999999999997</v>
      </c>
      <c r="E10" s="1">
        <v>2.0910000000000002</v>
      </c>
      <c r="F10" s="24">
        <v>91.428571428571431</v>
      </c>
      <c r="G10" s="24">
        <v>10.97142857142857</v>
      </c>
      <c r="H10" s="24">
        <v>403.2154558429807</v>
      </c>
      <c r="I10" s="24">
        <v>513.21545584298076</v>
      </c>
      <c r="J10" s="25">
        <v>0.35499999999999998</v>
      </c>
      <c r="K10" s="25">
        <v>0.17799999999999999</v>
      </c>
      <c r="L10" s="4">
        <v>0.36</v>
      </c>
      <c r="M10" s="1">
        <v>2</v>
      </c>
      <c r="O10" s="25">
        <v>0.97</v>
      </c>
      <c r="Q10" s="1">
        <v>33.843320000000013</v>
      </c>
      <c r="R10" s="1">
        <v>0.16905356973998539</v>
      </c>
      <c r="X10" s="1">
        <v>36.15661889804538</v>
      </c>
      <c r="Y10" s="1">
        <v>27.54598254668436</v>
      </c>
      <c r="Z10" s="1">
        <v>34.394680273272549</v>
      </c>
      <c r="AA10" s="1">
        <v>2.9923133406435798</v>
      </c>
      <c r="AB10" s="1">
        <v>99.081844032512706</v>
      </c>
      <c r="AC10" s="1">
        <v>31.973792761882851</v>
      </c>
      <c r="AD10" s="1">
        <v>33.136000000000003</v>
      </c>
      <c r="AE10" s="1">
        <v>-0.25512891611800531</v>
      </c>
      <c r="AF10" s="1">
        <v>-1.1500552930238901</v>
      </c>
      <c r="AG10" s="1">
        <v>1.667820098898126</v>
      </c>
      <c r="AH10" s="1">
        <v>-1.42484312787339</v>
      </c>
      <c r="AI10" s="1">
        <v>0</v>
      </c>
      <c r="AJ10" s="1">
        <v>0</v>
      </c>
      <c r="AK10" s="1">
        <v>29.858298455911921</v>
      </c>
      <c r="AL10" s="1">
        <v>33.136000000000003</v>
      </c>
      <c r="AM10" s="1">
        <v>-0.30976808721030491</v>
      </c>
      <c r="AN10" s="1">
        <v>-1.197440772147742</v>
      </c>
      <c r="AO10" s="1">
        <v>1.7483684648976741</v>
      </c>
      <c r="AP10" s="1">
        <v>-3.5188611496277109</v>
      </c>
      <c r="AQ10" s="1">
        <v>0</v>
      </c>
    </row>
    <row r="11" spans="1:43" ht="13" customHeight="1">
      <c r="A11" s="3">
        <v>41142</v>
      </c>
      <c r="B11" s="23">
        <v>0.75</v>
      </c>
      <c r="C11" s="35">
        <v>32.909999999999997</v>
      </c>
      <c r="D11" s="24">
        <v>50.847999999999999</v>
      </c>
      <c r="E11" s="1">
        <v>1.873</v>
      </c>
      <c r="F11" s="24">
        <v>62.857142857142847</v>
      </c>
      <c r="G11" s="24">
        <v>7.5428571428571418</v>
      </c>
      <c r="H11" s="24">
        <v>404.22320742402081</v>
      </c>
      <c r="I11" s="24">
        <v>508.50892170973498</v>
      </c>
      <c r="J11" s="25">
        <v>0.35499999999999998</v>
      </c>
      <c r="K11" s="25">
        <v>0.17799999999999999</v>
      </c>
      <c r="L11" s="4">
        <v>0.36</v>
      </c>
      <c r="M11" s="1">
        <v>2</v>
      </c>
      <c r="O11" s="25">
        <v>0.97</v>
      </c>
      <c r="Q11" s="1">
        <v>33.746506666666669</v>
      </c>
      <c r="R11" s="1">
        <v>0.1586531098481159</v>
      </c>
      <c r="X11" s="1">
        <v>35.851898444768807</v>
      </c>
      <c r="Y11" s="1">
        <v>27.29956795359389</v>
      </c>
      <c r="Z11" s="1">
        <v>33.862793170187921</v>
      </c>
      <c r="AA11" s="1">
        <v>2.785020410699333</v>
      </c>
      <c r="AB11" s="1">
        <v>97.668342453413743</v>
      </c>
      <c r="AC11" s="1">
        <v>31.57406069996593</v>
      </c>
      <c r="AD11" s="1">
        <v>32.909999999999997</v>
      </c>
      <c r="AE11" s="1">
        <v>-0.28629767329544809</v>
      </c>
      <c r="AF11" s="1">
        <v>-1.1311347820332791</v>
      </c>
      <c r="AG11" s="1">
        <v>1.2254030951616171</v>
      </c>
      <c r="AH11" s="1">
        <v>-1.1439099398669541</v>
      </c>
      <c r="AI11" s="1">
        <v>0</v>
      </c>
      <c r="AJ11" s="1">
        <v>0</v>
      </c>
      <c r="AK11" s="1">
        <v>29.6293726772019</v>
      </c>
      <c r="AL11" s="1">
        <v>32.909999999999997</v>
      </c>
      <c r="AM11" s="1">
        <v>-0.35204688517496652</v>
      </c>
      <c r="AN11" s="1">
        <v>-1.079379352517988</v>
      </c>
      <c r="AO11" s="1">
        <v>1.2330111197328231</v>
      </c>
      <c r="AP11" s="1">
        <v>-3.082212204837965</v>
      </c>
      <c r="AQ11" s="1">
        <v>0</v>
      </c>
    </row>
    <row r="12" spans="1:43" ht="13" customHeight="1">
      <c r="A12" s="3">
        <v>41142</v>
      </c>
      <c r="B12" s="23">
        <v>0.75694444444444442</v>
      </c>
      <c r="C12" s="35">
        <v>32.655999999999999</v>
      </c>
      <c r="D12" s="24">
        <v>51.566000000000003</v>
      </c>
      <c r="E12" s="1">
        <v>1.603</v>
      </c>
      <c r="F12" s="24">
        <v>40</v>
      </c>
      <c r="G12" s="24">
        <v>4.8</v>
      </c>
      <c r="H12" s="24">
        <v>409.66091994364598</v>
      </c>
      <c r="I12" s="24">
        <v>506.8037770865032</v>
      </c>
      <c r="J12" s="25">
        <v>0.35499999999999998</v>
      </c>
      <c r="K12" s="25">
        <v>0.17799999999999999</v>
      </c>
      <c r="L12" s="4">
        <v>0.36</v>
      </c>
      <c r="M12" s="1">
        <v>2</v>
      </c>
      <c r="O12" s="25">
        <v>0.97</v>
      </c>
      <c r="Q12" s="1">
        <v>33.65473333333334</v>
      </c>
      <c r="R12" s="1">
        <v>0.14977404850376469</v>
      </c>
      <c r="X12" s="1">
        <v>35.504679681971894</v>
      </c>
      <c r="Y12" s="1">
        <v>27.01775212593996</v>
      </c>
      <c r="Z12" s="1">
        <v>33.534745408894359</v>
      </c>
      <c r="AA12" s="1">
        <v>2.636861397792718</v>
      </c>
      <c r="AB12" s="1">
        <v>95.871926455363933</v>
      </c>
      <c r="AC12" s="1">
        <v>31.423968718233329</v>
      </c>
      <c r="AD12" s="1">
        <v>32.655999999999999</v>
      </c>
      <c r="AE12" s="1">
        <v>-0.30287165019669121</v>
      </c>
      <c r="AF12" s="1">
        <v>-0.85341517508578824</v>
      </c>
      <c r="AG12" s="1">
        <v>0.82964442619390755</v>
      </c>
      <c r="AH12" s="1">
        <v>-0.90538888267809137</v>
      </c>
      <c r="AI12" s="1">
        <v>0</v>
      </c>
      <c r="AJ12" s="1">
        <v>0</v>
      </c>
      <c r="AK12" s="1">
        <v>29.65646922507068</v>
      </c>
      <c r="AL12" s="1">
        <v>32.655999999999999</v>
      </c>
      <c r="AM12" s="1">
        <v>-0.38426526509780978</v>
      </c>
      <c r="AN12" s="1">
        <v>-0.71208846815183025</v>
      </c>
      <c r="AO12" s="1">
        <v>0.80657125188933443</v>
      </c>
      <c r="AP12" s="1">
        <v>-2.7097482935690129</v>
      </c>
      <c r="AQ12" s="1">
        <v>0</v>
      </c>
    </row>
    <row r="13" spans="1:43" ht="13" customHeight="1">
      <c r="A13" s="3">
        <v>41142</v>
      </c>
      <c r="B13" s="23">
        <v>0.76388888888888884</v>
      </c>
      <c r="C13" s="35">
        <v>32.316000000000003</v>
      </c>
      <c r="D13" s="24">
        <v>52.838000000000001</v>
      </c>
      <c r="E13" s="1">
        <v>1.5820000000000001</v>
      </c>
      <c r="F13" s="24">
        <v>4.2857142857142856</v>
      </c>
      <c r="G13" s="24">
        <v>0.51428571428571423</v>
      </c>
      <c r="H13" s="24">
        <v>406.84032270428582</v>
      </c>
      <c r="I13" s="24">
        <v>496.84032270428582</v>
      </c>
      <c r="J13" s="25">
        <v>0.35499999999999998</v>
      </c>
      <c r="K13" s="25">
        <v>0.17799999999999999</v>
      </c>
      <c r="L13" s="4">
        <v>0.36</v>
      </c>
      <c r="M13" s="1">
        <v>2</v>
      </c>
      <c r="O13" s="25">
        <v>0.97</v>
      </c>
      <c r="Q13" s="1">
        <v>33.568759999999997</v>
      </c>
      <c r="R13" s="1">
        <v>0.13690880733208691</v>
      </c>
      <c r="X13" s="1">
        <v>35.110891512584537</v>
      </c>
      <c r="Y13" s="1">
        <v>26.620192442293739</v>
      </c>
      <c r="Z13" s="1">
        <v>32.485930262080707</v>
      </c>
      <c r="AA13" s="1">
        <v>2.3049387781119099</v>
      </c>
      <c r="AB13" s="1">
        <v>88.413529430962797</v>
      </c>
      <c r="AC13" s="1">
        <v>30.3239384543458</v>
      </c>
      <c r="AD13" s="1">
        <v>32.316000000000003</v>
      </c>
      <c r="AE13" s="1">
        <v>-0.40805068273947409</v>
      </c>
      <c r="AF13" s="1">
        <v>-1.006124928228977</v>
      </c>
      <c r="AG13" s="1">
        <v>9.6697313387524866E-2</v>
      </c>
      <c r="AH13" s="1">
        <v>-0.67458324807327141</v>
      </c>
      <c r="AI13" s="1">
        <v>0</v>
      </c>
      <c r="AJ13" s="1">
        <v>0</v>
      </c>
      <c r="AK13" s="1">
        <v>28.84651485017638</v>
      </c>
      <c r="AL13" s="1">
        <v>32.316000000000003</v>
      </c>
      <c r="AM13" s="1">
        <v>-0.51460378831868148</v>
      </c>
      <c r="AN13" s="1">
        <v>-0.66561735800554633</v>
      </c>
      <c r="AO13" s="1">
        <v>8.8214630831158977E-2</v>
      </c>
      <c r="AP13" s="1">
        <v>-2.3774786343305538</v>
      </c>
      <c r="AQ13" s="1">
        <v>0</v>
      </c>
    </row>
    <row r="14" spans="1:43" ht="13" customHeight="1">
      <c r="A14" s="3">
        <v>41142</v>
      </c>
      <c r="B14" s="23">
        <v>0.77083333333333337</v>
      </c>
      <c r="C14" s="35">
        <v>31.913</v>
      </c>
      <c r="D14" s="35">
        <v>54.231999999999999</v>
      </c>
      <c r="E14" s="4">
        <v>0.93</v>
      </c>
      <c r="F14" s="35">
        <v>2.8571428571428572</v>
      </c>
      <c r="G14" s="35">
        <v>0.34285714285714292</v>
      </c>
      <c r="H14" s="24">
        <v>406.64370980004878</v>
      </c>
      <c r="I14" s="24">
        <v>495.21513837147728</v>
      </c>
      <c r="J14" s="25">
        <v>0.35499999999999998</v>
      </c>
      <c r="K14" s="25">
        <v>0.17799999999999999</v>
      </c>
      <c r="L14" s="4">
        <v>0.36</v>
      </c>
      <c r="M14" s="1">
        <v>2</v>
      </c>
      <c r="O14" s="25">
        <v>0.97</v>
      </c>
      <c r="Q14" s="1">
        <v>33.487053333333343</v>
      </c>
      <c r="R14" s="1">
        <v>0.13510157169860459</v>
      </c>
      <c r="X14" s="1">
        <v>34.511196453295803</v>
      </c>
      <c r="Y14" s="1">
        <v>26.458856112293649</v>
      </c>
      <c r="Z14" s="1">
        <v>32.452399867003606</v>
      </c>
      <c r="AA14" s="1">
        <v>2.1932385143486788</v>
      </c>
      <c r="AB14" s="1">
        <v>84.669183965734646</v>
      </c>
      <c r="AC14" s="1">
        <v>30.54306365223686</v>
      </c>
      <c r="AD14" s="1">
        <v>31.913</v>
      </c>
      <c r="AE14" s="1">
        <v>-0.24253471831376919</v>
      </c>
      <c r="AF14" s="1">
        <v>-1.0440835458252711</v>
      </c>
      <c r="AG14" s="1">
        <v>6.7931480397092764E-2</v>
      </c>
      <c r="AH14" s="1">
        <v>-0.15124956402118259</v>
      </c>
      <c r="AI14" s="1">
        <v>0</v>
      </c>
      <c r="AJ14" s="1">
        <v>0</v>
      </c>
      <c r="AK14" s="1">
        <v>29.098626197003171</v>
      </c>
      <c r="AL14" s="1">
        <v>31.913</v>
      </c>
      <c r="AM14" s="1">
        <v>-0.40094775423750451</v>
      </c>
      <c r="AN14" s="1">
        <v>-0.62845689646122149</v>
      </c>
      <c r="AO14" s="1">
        <v>6.1823508564630501E-2</v>
      </c>
      <c r="AP14" s="1">
        <v>-1.8467926608627401</v>
      </c>
      <c r="AQ14" s="1">
        <v>0</v>
      </c>
    </row>
    <row r="15" spans="1:43" ht="13" customHeight="1">
      <c r="A15" s="3">
        <v>41142</v>
      </c>
      <c r="B15" s="23">
        <v>0.77777777777777779</v>
      </c>
      <c r="C15" s="35">
        <v>31.574000000000002</v>
      </c>
      <c r="D15" s="35">
        <v>55.192</v>
      </c>
      <c r="E15" s="4">
        <v>0.90300000000000002</v>
      </c>
      <c r="F15" s="35">
        <v>2.8571428571428572</v>
      </c>
      <c r="G15" s="35">
        <v>0.34285714285714292</v>
      </c>
      <c r="H15" s="24">
        <v>406.31808124392569</v>
      </c>
      <c r="I15" s="24">
        <v>493.46093838678291</v>
      </c>
      <c r="J15" s="25">
        <v>0.35499999999999998</v>
      </c>
      <c r="K15" s="25">
        <v>0.17799999999999999</v>
      </c>
      <c r="L15" s="4">
        <v>0.36</v>
      </c>
      <c r="M15" s="1">
        <v>2</v>
      </c>
      <c r="O15" s="25">
        <v>0.97</v>
      </c>
      <c r="Q15" s="1">
        <v>33.426119999999997</v>
      </c>
      <c r="R15" s="1">
        <v>0.13400087051294871</v>
      </c>
      <c r="X15" s="1">
        <v>34.130868388863853</v>
      </c>
      <c r="Y15" s="1">
        <v>26.25975916801055</v>
      </c>
      <c r="Z15" s="1">
        <v>32.12612045745832</v>
      </c>
      <c r="AA15" s="1">
        <v>2.0976878487146928</v>
      </c>
      <c r="AB15" s="1">
        <v>80.973645101932249</v>
      </c>
      <c r="AC15" s="1">
        <v>30.251902804309982</v>
      </c>
      <c r="AD15" s="1">
        <v>31.574000000000002</v>
      </c>
      <c r="AE15" s="1">
        <v>-0.2725314860077</v>
      </c>
      <c r="AF15" s="1">
        <v>-0.96436008728558553</v>
      </c>
      <c r="AG15" s="1">
        <v>0</v>
      </c>
      <c r="AH15" s="1">
        <v>-8.5205622396717418E-2</v>
      </c>
      <c r="AI15" s="1">
        <v>0</v>
      </c>
      <c r="AJ15" s="1">
        <v>0</v>
      </c>
      <c r="AK15" s="1">
        <v>28.84520970709946</v>
      </c>
      <c r="AL15" s="1">
        <v>31.574000000000002</v>
      </c>
      <c r="AM15" s="1">
        <v>-0.46256760547028969</v>
      </c>
      <c r="AN15" s="1">
        <v>-0.47990613391581532</v>
      </c>
      <c r="AO15" s="1">
        <v>0</v>
      </c>
      <c r="AP15" s="1">
        <v>-1.7863165535144321</v>
      </c>
      <c r="AQ15" s="1">
        <v>0</v>
      </c>
    </row>
    <row r="16" spans="1:43" ht="13" customHeight="1">
      <c r="A16" s="3">
        <v>41142</v>
      </c>
      <c r="B16" s="23">
        <v>0.78472222222222221</v>
      </c>
      <c r="C16" s="35">
        <v>31.332999999999998</v>
      </c>
      <c r="D16" s="35">
        <v>55.918999999999997</v>
      </c>
      <c r="E16" s="4">
        <v>0.98799999999999999</v>
      </c>
      <c r="F16" s="35">
        <v>0</v>
      </c>
      <c r="G16" s="35">
        <v>0</v>
      </c>
      <c r="H16" s="24">
        <v>404.41594992108247</v>
      </c>
      <c r="I16" s="24">
        <v>490.13023563536831</v>
      </c>
      <c r="J16" s="25">
        <v>0.35499999999999998</v>
      </c>
      <c r="K16" s="25">
        <v>0.17799999999999999</v>
      </c>
      <c r="L16" s="4">
        <v>0.36</v>
      </c>
      <c r="M16" s="1">
        <v>2</v>
      </c>
      <c r="O16" s="25">
        <v>0.97</v>
      </c>
      <c r="Q16" s="1">
        <v>33.424719999999994</v>
      </c>
      <c r="R16" s="1">
        <v>0.13242413709624501</v>
      </c>
      <c r="X16" s="1">
        <v>33.88413858712029</v>
      </c>
      <c r="Y16" s="1">
        <v>26.134119539751119</v>
      </c>
      <c r="Z16" s="1">
        <v>31.81959454893428</v>
      </c>
      <c r="AA16" s="1">
        <v>2.0143017414034219</v>
      </c>
      <c r="AB16" s="1">
        <v>77.403922149916411</v>
      </c>
      <c r="AC16" s="1">
        <v>29.845332322487248</v>
      </c>
      <c r="AD16" s="1">
        <v>31.332999999999998</v>
      </c>
      <c r="AE16" s="1">
        <v>-0.36123881148026449</v>
      </c>
      <c r="AF16" s="1">
        <v>-1.01530404752961</v>
      </c>
      <c r="AG16" s="1">
        <v>0</v>
      </c>
      <c r="AH16" s="1">
        <v>-0.1111248185028591</v>
      </c>
      <c r="AI16" s="1">
        <v>0</v>
      </c>
      <c r="AJ16" s="1">
        <v>0</v>
      </c>
      <c r="AK16" s="1">
        <v>28.467962523976951</v>
      </c>
      <c r="AL16" s="1">
        <v>31.332999999999998</v>
      </c>
      <c r="AM16" s="1">
        <v>-0.57107214537210116</v>
      </c>
      <c r="AN16" s="1">
        <v>-0.47261673924611097</v>
      </c>
      <c r="AO16" s="1">
        <v>0</v>
      </c>
      <c r="AP16" s="1">
        <v>-1.8213485914048371</v>
      </c>
      <c r="AQ16" s="1">
        <v>0</v>
      </c>
    </row>
    <row r="17" spans="1:43" ht="13" customHeight="1">
      <c r="A17" s="22">
        <v>41142</v>
      </c>
      <c r="B17" s="23">
        <v>0.79166666666666663</v>
      </c>
      <c r="C17" s="35">
        <v>31.22</v>
      </c>
      <c r="D17" s="35">
        <v>55.475000000000001</v>
      </c>
      <c r="E17" s="4">
        <v>0.70899999999999996</v>
      </c>
      <c r="F17" s="35">
        <v>0</v>
      </c>
      <c r="G17" s="35">
        <v>0</v>
      </c>
      <c r="H17" s="24">
        <v>404.74568133034199</v>
      </c>
      <c r="I17" s="24">
        <v>487.60282418748483</v>
      </c>
      <c r="J17" s="25">
        <v>0.35499999999999998</v>
      </c>
      <c r="K17" s="25">
        <v>0.17799999999999999</v>
      </c>
      <c r="L17" s="4">
        <v>0.36</v>
      </c>
      <c r="M17" s="1">
        <v>2</v>
      </c>
      <c r="O17" s="25">
        <v>0.97</v>
      </c>
      <c r="Q17" s="1">
        <v>33.452733333333327</v>
      </c>
      <c r="R17" s="1">
        <v>0.1320767795478201</v>
      </c>
      <c r="X17" s="1">
        <v>33.695119693755551</v>
      </c>
      <c r="Y17" s="1">
        <v>25.986592213467588</v>
      </c>
      <c r="Z17" s="1">
        <v>31.682058669103981</v>
      </c>
      <c r="AA17" s="1">
        <v>1.9716750869734181</v>
      </c>
      <c r="AB17" s="1">
        <v>75.4659484951666</v>
      </c>
      <c r="AC17" s="1">
        <v>30.000245986823739</v>
      </c>
      <c r="AD17" s="1">
        <v>31.22</v>
      </c>
      <c r="AE17" s="1">
        <v>-0.19172567506101601</v>
      </c>
      <c r="AF17" s="1">
        <v>-1.132460808982219</v>
      </c>
      <c r="AG17" s="1">
        <v>0</v>
      </c>
      <c r="AH17" s="1">
        <v>0.10443247086698999</v>
      </c>
      <c r="AI17" s="1">
        <v>0</v>
      </c>
      <c r="AJ17" s="1">
        <v>0</v>
      </c>
      <c r="AK17" s="1">
        <v>28.62276838111239</v>
      </c>
      <c r="AL17" s="1">
        <v>31.22</v>
      </c>
      <c r="AM17" s="1">
        <v>-0.43445910591835801</v>
      </c>
      <c r="AN17" s="1">
        <v>-0.54760045874193775</v>
      </c>
      <c r="AO17" s="1">
        <v>0</v>
      </c>
      <c r="AP17" s="1">
        <v>-1.6151720542273089</v>
      </c>
      <c r="AQ17" s="1">
        <v>0</v>
      </c>
    </row>
    <row r="18" spans="1:43" ht="13" customHeight="1">
      <c r="A18" s="22">
        <v>41142</v>
      </c>
      <c r="B18" s="23">
        <v>0.79861111111111116</v>
      </c>
      <c r="C18" s="24">
        <v>30.867000000000001</v>
      </c>
      <c r="D18" s="24">
        <v>56.393999999999998</v>
      </c>
      <c r="E18" s="1">
        <v>0.35499999999999998</v>
      </c>
      <c r="F18" s="24">
        <v>0</v>
      </c>
      <c r="G18" s="24">
        <v>0</v>
      </c>
      <c r="H18" s="24">
        <v>402.05715260141352</v>
      </c>
      <c r="I18" s="24">
        <v>484.9142954585563</v>
      </c>
      <c r="J18" s="25">
        <v>0.35499999999999998</v>
      </c>
      <c r="K18" s="25">
        <v>0.17799999999999999</v>
      </c>
      <c r="L18" s="4">
        <v>0.36</v>
      </c>
      <c r="M18" s="1">
        <v>2</v>
      </c>
      <c r="O18" s="25">
        <v>0.97</v>
      </c>
      <c r="Q18" s="1">
        <v>33.420226666666657</v>
      </c>
      <c r="R18" s="1">
        <v>0.1311268921209052</v>
      </c>
      <c r="X18" s="1">
        <v>33.207380747635533</v>
      </c>
      <c r="Y18" s="1">
        <v>25.80119102136592</v>
      </c>
      <c r="Z18" s="1">
        <v>31.299637517830419</v>
      </c>
      <c r="AA18" s="1">
        <v>1.864168011251542</v>
      </c>
      <c r="AB18" s="1">
        <v>70.282874308532996</v>
      </c>
      <c r="AC18" s="1">
        <v>30.188609652762779</v>
      </c>
      <c r="AD18" s="1">
        <v>30.867000000000001</v>
      </c>
      <c r="AE18" s="1">
        <v>0.1064681751710389</v>
      </c>
      <c r="AF18" s="1">
        <v>-1.3184043952555311</v>
      </c>
      <c r="AG18" s="1">
        <v>0</v>
      </c>
      <c r="AH18" s="1">
        <v>0.53354587284727506</v>
      </c>
      <c r="AI18" s="1">
        <v>0</v>
      </c>
      <c r="AJ18" s="1">
        <v>0</v>
      </c>
      <c r="AK18" s="1">
        <v>28.823153824580221</v>
      </c>
      <c r="AL18" s="1">
        <v>30.867000000000001</v>
      </c>
      <c r="AM18" s="1">
        <v>-0.2031490692063983</v>
      </c>
      <c r="AN18" s="1">
        <v>-0.64422930119745159</v>
      </c>
      <c r="AO18" s="1">
        <v>0</v>
      </c>
      <c r="AP18" s="1">
        <v>-1.1964678050159301</v>
      </c>
      <c r="AQ18" s="1">
        <v>0</v>
      </c>
    </row>
    <row r="19" spans="1:43" ht="13" customHeight="1">
      <c r="A19" s="22">
        <v>41142</v>
      </c>
      <c r="B19" s="23">
        <v>0.80555555555555558</v>
      </c>
      <c r="C19" s="24">
        <v>30.725000000000001</v>
      </c>
      <c r="D19" s="24">
        <v>56.656999999999996</v>
      </c>
      <c r="E19" s="1">
        <v>0.81200000000000006</v>
      </c>
      <c r="F19" s="24">
        <v>0</v>
      </c>
      <c r="G19" s="24">
        <v>0</v>
      </c>
      <c r="H19" s="24">
        <v>402.85668104293131</v>
      </c>
      <c r="I19" s="24">
        <v>484.2852524715027</v>
      </c>
      <c r="J19" s="25">
        <v>0.35499999999999998</v>
      </c>
      <c r="K19" s="25">
        <v>0.17799999999999999</v>
      </c>
      <c r="L19" s="4">
        <v>0.36</v>
      </c>
      <c r="M19" s="1">
        <v>2</v>
      </c>
      <c r="O19" s="25">
        <v>0.97</v>
      </c>
      <c r="Q19" s="1">
        <v>33.410960000000003</v>
      </c>
      <c r="R19" s="1">
        <v>0.13061730774144131</v>
      </c>
      <c r="X19" s="1">
        <v>33.18017291219482</v>
      </c>
      <c r="Y19" s="1">
        <v>25.688752707724529</v>
      </c>
      <c r="Z19" s="1">
        <v>31.178150219059621</v>
      </c>
      <c r="AA19" s="1">
        <v>1.836568784134156</v>
      </c>
      <c r="AB19" s="1">
        <v>68.893034581734739</v>
      </c>
      <c r="AC19" s="1">
        <v>29.38861603340926</v>
      </c>
      <c r="AD19" s="1">
        <v>30.725000000000001</v>
      </c>
      <c r="AE19" s="1">
        <v>-0.32033253574792692</v>
      </c>
      <c r="AF19" s="1">
        <v>-1.068052296570638</v>
      </c>
      <c r="AG19" s="1">
        <v>0</v>
      </c>
      <c r="AH19" s="1">
        <v>5.2000865727840948E-2</v>
      </c>
      <c r="AI19" s="1">
        <v>0</v>
      </c>
      <c r="AJ19" s="1">
        <v>0</v>
      </c>
      <c r="AK19" s="1">
        <v>28.048585293124582</v>
      </c>
      <c r="AL19" s="1">
        <v>30.725000000000001</v>
      </c>
      <c r="AM19" s="1">
        <v>-0.60427915194450865</v>
      </c>
      <c r="AN19" s="1">
        <v>-0.38909613376236618</v>
      </c>
      <c r="AO19" s="1">
        <v>0</v>
      </c>
      <c r="AP19" s="1">
        <v>-1.683039421168546</v>
      </c>
      <c r="AQ19" s="1">
        <v>0</v>
      </c>
    </row>
    <row r="20" spans="1:43" ht="13" customHeight="1">
      <c r="A20" s="22">
        <v>41142</v>
      </c>
      <c r="B20" s="23">
        <v>0.8125</v>
      </c>
      <c r="C20" s="24">
        <v>30.626000000000001</v>
      </c>
      <c r="D20" s="24">
        <v>57.353999999999999</v>
      </c>
      <c r="E20" s="1">
        <v>0.79700000000000004</v>
      </c>
      <c r="F20" s="24">
        <v>0</v>
      </c>
      <c r="G20" s="24">
        <v>0</v>
      </c>
      <c r="H20" s="24">
        <v>402.40186122028018</v>
      </c>
      <c r="I20" s="24">
        <v>480.97328979170891</v>
      </c>
      <c r="J20" s="25">
        <v>0.35499999999999998</v>
      </c>
      <c r="K20" s="25">
        <v>0.17799999999999999</v>
      </c>
      <c r="L20" s="4">
        <v>0.36</v>
      </c>
      <c r="M20" s="1">
        <v>2</v>
      </c>
      <c r="O20" s="25">
        <v>0.97</v>
      </c>
      <c r="Q20" s="1">
        <v>33.398093333333343</v>
      </c>
      <c r="R20" s="1">
        <v>0.13032636098889269</v>
      </c>
      <c r="X20" s="1">
        <v>33.069306670185803</v>
      </c>
      <c r="Y20" s="1">
        <v>25.6886030082409</v>
      </c>
      <c r="Z20" s="1">
        <v>31.071253924490371</v>
      </c>
      <c r="AA20" s="1">
        <v>1.794034224763519</v>
      </c>
      <c r="AB20" s="1">
        <v>66.711512698474607</v>
      </c>
      <c r="AC20" s="1">
        <v>29.2519267102643</v>
      </c>
      <c r="AD20" s="1">
        <v>30.626000000000001</v>
      </c>
      <c r="AE20" s="1">
        <v>-0.31762029567813549</v>
      </c>
      <c r="AF20" s="1">
        <v>-1.16368618597652</v>
      </c>
      <c r="AG20" s="1">
        <v>0</v>
      </c>
      <c r="AH20" s="1">
        <v>0.1072331919189797</v>
      </c>
      <c r="AI20" s="1">
        <v>0</v>
      </c>
      <c r="AJ20" s="1">
        <v>0</v>
      </c>
      <c r="AK20" s="1">
        <v>27.921573506882702</v>
      </c>
      <c r="AL20" s="1">
        <v>30.626000000000001</v>
      </c>
      <c r="AM20" s="1">
        <v>-0.61228214506100054</v>
      </c>
      <c r="AN20" s="1">
        <v>-0.45473970105243</v>
      </c>
      <c r="AO20" s="1">
        <v>0</v>
      </c>
      <c r="AP20" s="1">
        <v>-1.637404647003869</v>
      </c>
      <c r="AQ20" s="1">
        <v>0</v>
      </c>
    </row>
    <row r="21" spans="1:43" ht="13" customHeight="1">
      <c r="A21" s="22">
        <v>41142</v>
      </c>
      <c r="B21" s="23">
        <v>0.81944444444444442</v>
      </c>
      <c r="C21" s="24">
        <v>30.471</v>
      </c>
      <c r="D21" s="24">
        <v>58.384</v>
      </c>
      <c r="E21" s="1">
        <v>0.78800000000000003</v>
      </c>
      <c r="F21" s="24">
        <v>0</v>
      </c>
      <c r="G21" s="24">
        <v>0</v>
      </c>
      <c r="H21" s="24">
        <v>408.91816581056969</v>
      </c>
      <c r="I21" s="24">
        <v>480.34673723914108</v>
      </c>
      <c r="J21" s="25">
        <v>0.35499999999999998</v>
      </c>
      <c r="K21" s="25">
        <v>0.17799999999999999</v>
      </c>
      <c r="L21" s="4">
        <v>0.36</v>
      </c>
      <c r="M21" s="1">
        <v>2</v>
      </c>
      <c r="O21" s="25">
        <v>0.97</v>
      </c>
      <c r="Q21" s="1">
        <v>33.370399999999997</v>
      </c>
      <c r="R21" s="1">
        <v>0.12936305074599741</v>
      </c>
      <c r="X21" s="1">
        <v>32.898697434430971</v>
      </c>
      <c r="Y21" s="1">
        <v>25.679242954942719</v>
      </c>
      <c r="Z21" s="1">
        <v>31.15016788146951</v>
      </c>
      <c r="AA21" s="1">
        <v>1.8087982129025491</v>
      </c>
      <c r="AB21" s="1">
        <v>67.473818498301966</v>
      </c>
      <c r="AC21" s="1">
        <v>29.38257368876744</v>
      </c>
      <c r="AD21" s="1">
        <v>30.471</v>
      </c>
      <c r="AE21" s="1">
        <v>-0.32360838035343359</v>
      </c>
      <c r="AF21" s="1">
        <v>-0.89354804026175105</v>
      </c>
      <c r="AG21" s="1">
        <v>0</v>
      </c>
      <c r="AH21" s="1">
        <v>0.12873010938264601</v>
      </c>
      <c r="AI21" s="1">
        <v>0</v>
      </c>
      <c r="AJ21" s="1">
        <v>0</v>
      </c>
      <c r="AK21" s="1">
        <v>28.06068034608521</v>
      </c>
      <c r="AL21" s="1">
        <v>30.471</v>
      </c>
      <c r="AM21" s="1">
        <v>-0.63215539161779266</v>
      </c>
      <c r="AN21" s="1">
        <v>-0.18646785581757991</v>
      </c>
      <c r="AO21" s="1">
        <v>0</v>
      </c>
      <c r="AP21" s="1">
        <v>-1.5916964064794199</v>
      </c>
      <c r="AQ21" s="1">
        <v>0</v>
      </c>
    </row>
    <row r="22" spans="1:43" ht="13" customHeight="1">
      <c r="A22" s="22">
        <v>41142</v>
      </c>
      <c r="B22" s="23">
        <v>0.82638888888888884</v>
      </c>
      <c r="C22" s="24">
        <v>30.251999999999999</v>
      </c>
      <c r="D22" s="24">
        <v>59.576000000000001</v>
      </c>
      <c r="E22" s="1">
        <v>0.80600000000000005</v>
      </c>
      <c r="F22" s="24">
        <v>0</v>
      </c>
      <c r="G22" s="24">
        <v>0</v>
      </c>
      <c r="H22" s="24">
        <v>416.86366340928669</v>
      </c>
      <c r="I22" s="24">
        <v>479.72080626642958</v>
      </c>
      <c r="J22" s="25">
        <v>0.35499999999999998</v>
      </c>
      <c r="K22" s="25">
        <v>0.17799999999999999</v>
      </c>
      <c r="L22" s="4">
        <v>0.36</v>
      </c>
      <c r="M22" s="1">
        <v>2</v>
      </c>
      <c r="O22" s="25">
        <v>0.97</v>
      </c>
      <c r="Q22" s="1">
        <v>33.329053333333327</v>
      </c>
      <c r="R22" s="1">
        <v>0.12810576229407661</v>
      </c>
      <c r="X22" s="1">
        <v>32.662663784299973</v>
      </c>
      <c r="Y22" s="1">
        <v>25.63010610089907</v>
      </c>
      <c r="Z22" s="1">
        <v>31.20438398633457</v>
      </c>
      <c r="AA22" s="1">
        <v>1.8206790912342949</v>
      </c>
      <c r="AB22" s="1">
        <v>68.083412231065566</v>
      </c>
      <c r="AC22" s="1">
        <v>29.477565297692529</v>
      </c>
      <c r="AD22" s="1">
        <v>30.251999999999999</v>
      </c>
      <c r="AE22" s="1">
        <v>-0.36069030817360959</v>
      </c>
      <c r="AF22" s="1">
        <v>-0.53715225016653667</v>
      </c>
      <c r="AG22" s="1">
        <v>0</v>
      </c>
      <c r="AH22" s="1">
        <v>0.12340785603270781</v>
      </c>
      <c r="AI22" s="1">
        <v>0</v>
      </c>
      <c r="AJ22" s="1">
        <v>0</v>
      </c>
      <c r="AK22" s="1">
        <v>28.16914831652727</v>
      </c>
      <c r="AL22" s="1">
        <v>30.251999999999999</v>
      </c>
      <c r="AM22" s="1">
        <v>-0.68586545184385106</v>
      </c>
      <c r="AN22" s="1">
        <v>0.1700245218833028</v>
      </c>
      <c r="AO22" s="1">
        <v>0</v>
      </c>
      <c r="AP22" s="1">
        <v>-1.5670107535121851</v>
      </c>
      <c r="AQ22" s="1">
        <v>0</v>
      </c>
    </row>
    <row r="23" spans="1:43" ht="13" customHeight="1">
      <c r="A23" s="22">
        <v>41142</v>
      </c>
      <c r="B23" s="23">
        <v>0.83333333333333337</v>
      </c>
      <c r="C23" s="24">
        <v>30.061</v>
      </c>
      <c r="D23" s="24">
        <v>61.212000000000003</v>
      </c>
      <c r="E23" s="1">
        <v>1.0209999999999999</v>
      </c>
      <c r="F23" s="24">
        <v>0</v>
      </c>
      <c r="G23" s="24">
        <v>0</v>
      </c>
      <c r="H23" s="24">
        <v>417.66692503376947</v>
      </c>
      <c r="I23" s="24">
        <v>476.23835360519797</v>
      </c>
      <c r="J23" s="25">
        <v>0.35499999999999998</v>
      </c>
      <c r="K23" s="25">
        <v>0.17799999999999999</v>
      </c>
      <c r="L23" s="4">
        <v>0.36</v>
      </c>
      <c r="M23" s="1">
        <v>2</v>
      </c>
      <c r="O23" s="25">
        <v>0.97</v>
      </c>
      <c r="Q23" s="1">
        <v>33.290453333333332</v>
      </c>
      <c r="R23" s="1">
        <v>0.12741625877139601</v>
      </c>
      <c r="X23" s="1">
        <v>32.479262866492562</v>
      </c>
      <c r="Y23" s="1">
        <v>25.652762521511111</v>
      </c>
      <c r="Z23" s="1">
        <v>31.0357339972552</v>
      </c>
      <c r="AA23" s="1">
        <v>1.766612441163343</v>
      </c>
      <c r="AB23" s="1">
        <v>65.282576454068334</v>
      </c>
      <c r="AC23" s="1">
        <v>29.026005023372559</v>
      </c>
      <c r="AD23" s="1">
        <v>30.061</v>
      </c>
      <c r="AE23" s="1">
        <v>-0.58934810969247331</v>
      </c>
      <c r="AF23" s="1">
        <v>-0.48517077945746112</v>
      </c>
      <c r="AG23" s="1">
        <v>0</v>
      </c>
      <c r="AH23" s="1">
        <v>3.9523912522536363E-2</v>
      </c>
      <c r="AI23" s="1">
        <v>0</v>
      </c>
      <c r="AJ23" s="1">
        <v>0</v>
      </c>
      <c r="AK23" s="1">
        <v>27.742014148291162</v>
      </c>
      <c r="AL23" s="1">
        <v>30.061</v>
      </c>
      <c r="AM23" s="1">
        <v>-0.91067216388165517</v>
      </c>
      <c r="AN23" s="1">
        <v>0.25166752360708078</v>
      </c>
      <c r="AO23" s="1">
        <v>0</v>
      </c>
      <c r="AP23" s="1">
        <v>-1.6599812114342649</v>
      </c>
      <c r="AQ23" s="1">
        <v>0</v>
      </c>
    </row>
    <row r="24" spans="1:43" ht="13" customHeight="1">
      <c r="A24" s="22">
        <v>41142</v>
      </c>
      <c r="B24" s="23">
        <v>0.84027777777777779</v>
      </c>
      <c r="C24" s="24">
        <v>30.010999999999999</v>
      </c>
      <c r="D24" s="24">
        <v>61.646000000000001</v>
      </c>
      <c r="E24" s="1">
        <v>0.83299999999999996</v>
      </c>
      <c r="F24" s="24">
        <v>0</v>
      </c>
      <c r="G24" s="24">
        <v>0</v>
      </c>
      <c r="H24" s="24">
        <v>406.41816728720642</v>
      </c>
      <c r="I24" s="24">
        <v>477.8467387157778</v>
      </c>
      <c r="J24" s="25">
        <v>0.35499999999999998</v>
      </c>
      <c r="K24" s="25">
        <v>0.17799999999999999</v>
      </c>
      <c r="L24" s="4">
        <v>0.36</v>
      </c>
      <c r="M24" s="1">
        <v>2</v>
      </c>
      <c r="O24" s="25">
        <v>0.97</v>
      </c>
      <c r="Q24" s="1">
        <v>33.280093333333333</v>
      </c>
      <c r="R24" s="1">
        <v>0.12800241673328941</v>
      </c>
      <c r="X24" s="1">
        <v>32.402886763772031</v>
      </c>
      <c r="Y24" s="1">
        <v>25.66879240407361</v>
      </c>
      <c r="Z24" s="1">
        <v>30.896706222040429</v>
      </c>
      <c r="AA24" s="1">
        <v>1.697292611937415</v>
      </c>
      <c r="AB24" s="1">
        <v>61.606663988008997</v>
      </c>
      <c r="AC24" s="1">
        <v>28.972374272287482</v>
      </c>
      <c r="AD24" s="1">
        <v>30.010999999999999</v>
      </c>
      <c r="AE24" s="1">
        <v>-0.41185938636610309</v>
      </c>
      <c r="AF24" s="1">
        <v>-0.8572148301990572</v>
      </c>
      <c r="AG24" s="1">
        <v>0</v>
      </c>
      <c r="AH24" s="1">
        <v>0.2304484888526705</v>
      </c>
      <c r="AI24" s="1">
        <v>0</v>
      </c>
      <c r="AJ24" s="1">
        <v>0</v>
      </c>
      <c r="AK24" s="1">
        <v>27.687239935277351</v>
      </c>
      <c r="AL24" s="1">
        <v>30.010999999999999</v>
      </c>
      <c r="AM24" s="1">
        <v>-0.75586769732336967</v>
      </c>
      <c r="AN24" s="1">
        <v>-7.0413194622984551E-2</v>
      </c>
      <c r="AO24" s="1">
        <v>0</v>
      </c>
      <c r="AP24" s="1">
        <v>-1.4974791727762979</v>
      </c>
      <c r="AQ24" s="1">
        <v>0</v>
      </c>
    </row>
    <row r="25" spans="1:43" ht="13" customHeight="1">
      <c r="A25" s="22">
        <v>41142</v>
      </c>
      <c r="B25" s="23">
        <v>0.84722222222222221</v>
      </c>
      <c r="C25" s="24">
        <v>29.748999999999999</v>
      </c>
      <c r="D25" s="24">
        <v>61.332999999999998</v>
      </c>
      <c r="E25" s="1">
        <v>0</v>
      </c>
      <c r="F25" s="24">
        <v>0</v>
      </c>
      <c r="G25" s="24">
        <v>0</v>
      </c>
      <c r="H25" s="24">
        <v>400.88617499801711</v>
      </c>
      <c r="I25" s="24">
        <v>473.74331785515989</v>
      </c>
      <c r="J25" s="25">
        <v>0.35499999999999998</v>
      </c>
      <c r="K25" s="25">
        <v>0.17799999999999999</v>
      </c>
      <c r="L25" s="4">
        <v>0.36</v>
      </c>
      <c r="M25" s="1">
        <v>2</v>
      </c>
      <c r="O25" s="25">
        <v>0.97</v>
      </c>
      <c r="Q25" s="1">
        <v>33.224666666666657</v>
      </c>
      <c r="R25" s="1">
        <v>0.12751184841453811</v>
      </c>
      <c r="X25" s="1">
        <v>31.6090035</v>
      </c>
      <c r="Y25" s="1">
        <v>25.423187817639999</v>
      </c>
      <c r="Z25" s="1">
        <v>30.3154483458055</v>
      </c>
      <c r="AA25" s="1">
        <v>1.57129064982119</v>
      </c>
      <c r="AB25" s="1">
        <v>54.781705910484661</v>
      </c>
      <c r="AC25" s="1">
        <v>30.169362731347992</v>
      </c>
      <c r="AD25" s="1">
        <v>29.748999999999999</v>
      </c>
      <c r="AE25" s="1">
        <v>0.71904539802621248</v>
      </c>
      <c r="AF25" s="1">
        <v>-1.5229224578415641</v>
      </c>
      <c r="AG25" s="1">
        <v>0</v>
      </c>
      <c r="AH25" s="1">
        <v>1.224239791163366</v>
      </c>
      <c r="AI25" s="1">
        <v>0</v>
      </c>
      <c r="AJ25" s="1">
        <v>0</v>
      </c>
      <c r="AK25" s="1">
        <v>28.865433409883309</v>
      </c>
      <c r="AL25" s="1">
        <v>29.748999999999999</v>
      </c>
      <c r="AM25" s="1">
        <v>0.23858563710094191</v>
      </c>
      <c r="AN25" s="1">
        <v>-0.62116138967379042</v>
      </c>
      <c r="AO25" s="1">
        <v>0</v>
      </c>
      <c r="AP25" s="1">
        <v>-0.50099083754384088</v>
      </c>
      <c r="AQ25" s="1">
        <v>0</v>
      </c>
    </row>
    <row r="26" spans="1:43" ht="13" customHeight="1">
      <c r="A26" s="22">
        <v>41142</v>
      </c>
      <c r="B26" s="23">
        <v>0.85416666666666663</v>
      </c>
      <c r="C26" s="24">
        <v>29.693000000000001</v>
      </c>
      <c r="D26" s="24">
        <v>61.171999999999997</v>
      </c>
      <c r="E26" s="1">
        <v>0.71199999999999997</v>
      </c>
      <c r="F26" s="24">
        <v>1.428571428571429</v>
      </c>
      <c r="G26" s="24">
        <v>0.1714285714285714</v>
      </c>
      <c r="H26" s="24">
        <v>403.12110773044168</v>
      </c>
      <c r="I26" s="24">
        <v>474.54967915901312</v>
      </c>
      <c r="J26" s="25">
        <v>0.35499999999999998</v>
      </c>
      <c r="K26" s="25">
        <v>0.17799999999999999</v>
      </c>
      <c r="L26" s="4">
        <v>0.36</v>
      </c>
      <c r="M26" s="1">
        <v>2</v>
      </c>
      <c r="O26" s="25">
        <v>0.97</v>
      </c>
      <c r="Q26" s="1">
        <v>33.205693333333343</v>
      </c>
      <c r="R26" s="1">
        <v>0.12763617146458189</v>
      </c>
      <c r="X26" s="1">
        <v>32.043019316460857</v>
      </c>
      <c r="Y26" s="1">
        <v>25.323792116620321</v>
      </c>
      <c r="Z26" s="1">
        <v>30.42060474860186</v>
      </c>
      <c r="AA26" s="1">
        <v>1.579195560152959</v>
      </c>
      <c r="AB26" s="1">
        <v>55.212416942921081</v>
      </c>
      <c r="AC26" s="1">
        <v>28.691170998804381</v>
      </c>
      <c r="AD26" s="1">
        <v>29.693000000000001</v>
      </c>
      <c r="AE26" s="1">
        <v>-0.30605973292970462</v>
      </c>
      <c r="AF26" s="1">
        <v>-1.0026367556368161</v>
      </c>
      <c r="AG26" s="1">
        <v>0</v>
      </c>
      <c r="AH26" s="1">
        <v>0.30686748737094638</v>
      </c>
      <c r="AI26" s="1">
        <v>0</v>
      </c>
      <c r="AJ26" s="1">
        <v>0</v>
      </c>
      <c r="AK26" s="1">
        <v>27.426852738967799</v>
      </c>
      <c r="AL26" s="1">
        <v>29.693000000000001</v>
      </c>
      <c r="AM26" s="1">
        <v>-0.68992445238417921</v>
      </c>
      <c r="AN26" s="1">
        <v>-0.1443175018813522</v>
      </c>
      <c r="AO26" s="1">
        <v>0</v>
      </c>
      <c r="AP26" s="1">
        <v>-1.431905306766672</v>
      </c>
      <c r="AQ26" s="1">
        <v>0</v>
      </c>
    </row>
    <row r="27" spans="1:43" ht="13" customHeight="1">
      <c r="A27" s="22">
        <v>41142</v>
      </c>
      <c r="B27" s="23">
        <v>0.86111111111111116</v>
      </c>
      <c r="C27" s="24">
        <v>29.559000000000001</v>
      </c>
      <c r="D27" s="24">
        <v>61.889000000000003</v>
      </c>
      <c r="E27" s="1">
        <v>0.6</v>
      </c>
      <c r="F27" s="24">
        <v>0</v>
      </c>
      <c r="G27" s="24">
        <v>0</v>
      </c>
      <c r="H27" s="24">
        <v>402.06702159878921</v>
      </c>
      <c r="I27" s="24">
        <v>472.06702159878921</v>
      </c>
      <c r="J27" s="25">
        <v>0.35499999999999998</v>
      </c>
      <c r="K27" s="25">
        <v>0.17799999999999999</v>
      </c>
      <c r="L27" s="4">
        <v>0.36</v>
      </c>
      <c r="M27" s="1">
        <v>2</v>
      </c>
      <c r="O27" s="25">
        <v>0.97</v>
      </c>
      <c r="Q27" s="1">
        <v>33.165986666666683</v>
      </c>
      <c r="R27" s="1">
        <v>0.12677382628039269</v>
      </c>
      <c r="X27" s="1">
        <v>31.886976389401511</v>
      </c>
      <c r="Y27" s="1">
        <v>25.29450846346522</v>
      </c>
      <c r="Z27" s="1">
        <v>30.30140579831054</v>
      </c>
      <c r="AA27" s="1">
        <v>1.530444576273114</v>
      </c>
      <c r="AB27" s="1">
        <v>52.556167728614042</v>
      </c>
      <c r="AC27" s="1">
        <v>28.69943210694235</v>
      </c>
      <c r="AD27" s="1">
        <v>29.559000000000001</v>
      </c>
      <c r="AE27" s="1">
        <v>-0.1772003555111841</v>
      </c>
      <c r="AF27" s="1">
        <v>-1.1223184973233771</v>
      </c>
      <c r="AG27" s="1">
        <v>0</v>
      </c>
      <c r="AH27" s="1">
        <v>0.43995095977695392</v>
      </c>
      <c r="AI27" s="1">
        <v>0</v>
      </c>
      <c r="AJ27" s="1">
        <v>0</v>
      </c>
      <c r="AK27" s="1">
        <v>27.450065655874571</v>
      </c>
      <c r="AL27" s="1">
        <v>29.559000000000001</v>
      </c>
      <c r="AM27" s="1">
        <v>-0.58538345901678757</v>
      </c>
      <c r="AN27" s="1">
        <v>-0.22924322556609181</v>
      </c>
      <c r="AO27" s="1">
        <v>0</v>
      </c>
      <c r="AP27" s="1">
        <v>-1.294307659542546</v>
      </c>
      <c r="AQ27" s="1">
        <v>0</v>
      </c>
    </row>
    <row r="28" spans="1:43" ht="13" customHeight="1">
      <c r="A28" s="22">
        <v>41142</v>
      </c>
      <c r="B28" s="23">
        <v>0.86805555555555558</v>
      </c>
      <c r="C28" s="24">
        <v>29.268999999999998</v>
      </c>
      <c r="D28" s="24">
        <v>63.04</v>
      </c>
      <c r="E28" s="1">
        <v>0</v>
      </c>
      <c r="F28" s="24">
        <v>0</v>
      </c>
      <c r="G28" s="24">
        <v>0</v>
      </c>
      <c r="H28" s="24">
        <v>400.21150903394818</v>
      </c>
      <c r="I28" s="24">
        <v>470.21150903394818</v>
      </c>
      <c r="J28" s="25">
        <v>0.35499999999999998</v>
      </c>
      <c r="K28" s="25">
        <v>0.17799999999999999</v>
      </c>
      <c r="L28" s="4">
        <v>0.36</v>
      </c>
      <c r="M28" s="1">
        <v>2</v>
      </c>
      <c r="O28" s="25">
        <v>0.97</v>
      </c>
      <c r="Q28" s="1">
        <v>33.086013333333341</v>
      </c>
      <c r="R28" s="1">
        <v>0.1259152305162628</v>
      </c>
      <c r="X28" s="1">
        <v>31.3106835</v>
      </c>
      <c r="Y28" s="1">
        <v>25.194154859200001</v>
      </c>
      <c r="Z28" s="1">
        <v>29.936042667075061</v>
      </c>
      <c r="AA28" s="1">
        <v>1.44949796250161</v>
      </c>
      <c r="AB28" s="1">
        <v>48.166071669120491</v>
      </c>
      <c r="AC28" s="1">
        <v>29.819664639295489</v>
      </c>
      <c r="AD28" s="1">
        <v>29.268999999999998</v>
      </c>
      <c r="AE28" s="1">
        <v>0.79060094461604036</v>
      </c>
      <c r="AF28" s="1">
        <v>-1.48324090592807</v>
      </c>
      <c r="AG28" s="1">
        <v>0</v>
      </c>
      <c r="AH28" s="1">
        <v>1.243304600607549</v>
      </c>
      <c r="AI28" s="1">
        <v>0</v>
      </c>
      <c r="AJ28" s="1">
        <v>0</v>
      </c>
      <c r="AK28" s="1">
        <v>28.55413338776399</v>
      </c>
      <c r="AL28" s="1">
        <v>29.268999999999998</v>
      </c>
      <c r="AM28" s="1">
        <v>0.26134681669034621</v>
      </c>
      <c r="AN28" s="1">
        <v>-0.50706046718599496</v>
      </c>
      <c r="AO28" s="1">
        <v>0</v>
      </c>
      <c r="AP28" s="1">
        <v>-0.46915296174035581</v>
      </c>
      <c r="AQ28" s="1">
        <v>0</v>
      </c>
    </row>
    <row r="29" spans="1:43" ht="13" customHeight="1">
      <c r="A29" s="22">
        <v>41142</v>
      </c>
      <c r="B29" s="23">
        <v>0.875</v>
      </c>
      <c r="C29" s="24">
        <v>28.986000000000001</v>
      </c>
      <c r="D29" s="24">
        <v>64.141000000000005</v>
      </c>
      <c r="E29" s="1">
        <v>0</v>
      </c>
      <c r="F29" s="24">
        <v>0</v>
      </c>
      <c r="G29" s="24">
        <v>0</v>
      </c>
      <c r="H29" s="24">
        <v>401.21868184177168</v>
      </c>
      <c r="I29" s="24">
        <v>469.7901104132003</v>
      </c>
      <c r="J29" s="25">
        <v>0.35499999999999998</v>
      </c>
      <c r="K29" s="25">
        <v>0.17799999999999999</v>
      </c>
      <c r="L29" s="4">
        <v>0.36</v>
      </c>
      <c r="M29" s="1">
        <v>2</v>
      </c>
      <c r="O29" s="25">
        <v>0.97</v>
      </c>
      <c r="Q29" s="1">
        <v>32.978533333333331</v>
      </c>
      <c r="R29" s="1">
        <v>0.12484788685603131</v>
      </c>
      <c r="X29" s="1">
        <v>31.134799000000001</v>
      </c>
      <c r="Y29" s="1">
        <v>25.068421195919999</v>
      </c>
      <c r="Z29" s="1">
        <v>29.791937458961119</v>
      </c>
      <c r="AA29" s="1">
        <v>1.3994781001869949</v>
      </c>
      <c r="AB29" s="1">
        <v>45.483992686867637</v>
      </c>
      <c r="AC29" s="1">
        <v>29.719513989785209</v>
      </c>
      <c r="AD29" s="1">
        <v>28.986000000000001</v>
      </c>
      <c r="AE29" s="1">
        <v>0.82704479775239692</v>
      </c>
      <c r="AF29" s="1">
        <v>-1.3321059141305911</v>
      </c>
      <c r="AG29" s="1">
        <v>0</v>
      </c>
      <c r="AH29" s="1">
        <v>1.2385751061634329</v>
      </c>
      <c r="AI29" s="1">
        <v>0</v>
      </c>
      <c r="AJ29" s="1">
        <v>0</v>
      </c>
      <c r="AK29" s="1">
        <v>28.475773719138679</v>
      </c>
      <c r="AL29" s="1">
        <v>28.986000000000001</v>
      </c>
      <c r="AM29" s="1">
        <v>0.27330077868245017</v>
      </c>
      <c r="AN29" s="1">
        <v>-0.3323614264280067</v>
      </c>
      <c r="AO29" s="1">
        <v>0</v>
      </c>
      <c r="AP29" s="1">
        <v>-0.45116563311577002</v>
      </c>
      <c r="AQ29" s="1">
        <v>0</v>
      </c>
    </row>
    <row r="30" spans="1:43" ht="13" customHeight="1">
      <c r="A30" s="22">
        <v>41142</v>
      </c>
      <c r="B30" s="23">
        <v>0.88194444444444442</v>
      </c>
      <c r="C30" s="24">
        <v>28.42</v>
      </c>
      <c r="D30" s="24">
        <v>67.302999999999997</v>
      </c>
      <c r="E30" s="1">
        <v>0</v>
      </c>
      <c r="F30" s="24">
        <v>0</v>
      </c>
      <c r="G30" s="24">
        <v>0</v>
      </c>
      <c r="H30" s="24">
        <v>398.76065770609222</v>
      </c>
      <c r="I30" s="24">
        <v>465.90351484894933</v>
      </c>
      <c r="J30" s="25">
        <v>0.35499999999999998</v>
      </c>
      <c r="K30" s="25">
        <v>0.17799999999999999</v>
      </c>
      <c r="L30" s="4">
        <v>0.36</v>
      </c>
      <c r="M30" s="1">
        <v>2</v>
      </c>
      <c r="O30" s="25">
        <v>0.97</v>
      </c>
      <c r="Q30" s="1">
        <v>32.846573333333332</v>
      </c>
      <c r="R30" s="1">
        <v>0.12311561897303321</v>
      </c>
      <c r="X30" s="1">
        <v>30.78303</v>
      </c>
      <c r="Y30" s="1">
        <v>24.927065879200001</v>
      </c>
      <c r="Z30" s="1">
        <v>29.424511207910751</v>
      </c>
      <c r="AA30" s="1">
        <v>1.252845552280071</v>
      </c>
      <c r="AB30" s="1">
        <v>37.868819735386957</v>
      </c>
      <c r="AC30" s="1">
        <v>29.288397402091849</v>
      </c>
      <c r="AD30" s="1">
        <v>28.42</v>
      </c>
      <c r="AE30" s="1">
        <v>0.91846271880706365</v>
      </c>
      <c r="AF30" s="1">
        <v>-1.345681774480419</v>
      </c>
      <c r="AG30" s="1">
        <v>0</v>
      </c>
      <c r="AH30" s="1">
        <v>1.2956164577652329</v>
      </c>
      <c r="AI30" s="1">
        <v>0</v>
      </c>
      <c r="AJ30" s="1">
        <v>0</v>
      </c>
      <c r="AK30" s="1">
        <v>28.088429288115631</v>
      </c>
      <c r="AL30" s="1">
        <v>28.42</v>
      </c>
      <c r="AM30" s="1">
        <v>0.30193634327473651</v>
      </c>
      <c r="AN30" s="1">
        <v>-0.2434074201300073</v>
      </c>
      <c r="AO30" s="1">
        <v>0</v>
      </c>
      <c r="AP30" s="1">
        <v>-0.39009963502909878</v>
      </c>
      <c r="AQ30" s="1">
        <v>0</v>
      </c>
    </row>
    <row r="31" spans="1:43" ht="13" customHeight="1">
      <c r="A31" s="22">
        <v>41142</v>
      </c>
      <c r="B31" s="23">
        <v>0.88888888888888884</v>
      </c>
      <c r="C31" s="24">
        <v>28.088000000000001</v>
      </c>
      <c r="D31" s="24">
        <v>68.040000000000006</v>
      </c>
      <c r="E31" s="1">
        <v>0</v>
      </c>
      <c r="F31" s="24">
        <v>0</v>
      </c>
      <c r="G31" s="24">
        <v>0</v>
      </c>
      <c r="H31" s="24">
        <v>399.78072010396488</v>
      </c>
      <c r="I31" s="24">
        <v>465.49500581825072</v>
      </c>
      <c r="J31" s="25">
        <v>0.35499999999999998</v>
      </c>
      <c r="K31" s="25">
        <v>0.17799999999999999</v>
      </c>
      <c r="L31" s="4">
        <v>0.36</v>
      </c>
      <c r="M31" s="1">
        <v>2</v>
      </c>
      <c r="O31" s="25">
        <v>0.97</v>
      </c>
      <c r="Q31" s="1">
        <v>32.774266666666662</v>
      </c>
      <c r="R31" s="1">
        <v>0.1219303771978678</v>
      </c>
      <c r="X31" s="1">
        <v>30.576692000000001</v>
      </c>
      <c r="Y31" s="1">
        <v>24.7058099584</v>
      </c>
      <c r="Z31" s="1">
        <v>29.195698043727319</v>
      </c>
      <c r="AA31" s="1">
        <v>1.189611867181922</v>
      </c>
      <c r="AB31" s="1">
        <v>34.741349516411759</v>
      </c>
      <c r="AC31" s="1">
        <v>29.1616888263876</v>
      </c>
      <c r="AD31" s="1">
        <v>28.088000000000001</v>
      </c>
      <c r="AE31" s="1">
        <v>0.97241166159781511</v>
      </c>
      <c r="AF31" s="1">
        <v>-1.1751006931013721</v>
      </c>
      <c r="AG31" s="1">
        <v>0</v>
      </c>
      <c r="AH31" s="1">
        <v>1.276377857891198</v>
      </c>
      <c r="AI31" s="1">
        <v>0</v>
      </c>
      <c r="AJ31" s="1">
        <v>0</v>
      </c>
      <c r="AK31" s="1">
        <v>27.983880561398291</v>
      </c>
      <c r="AL31" s="1">
        <v>28.088000000000001</v>
      </c>
      <c r="AM31" s="1">
        <v>0.3196032568463707</v>
      </c>
      <c r="AN31" s="1">
        <v>-3.2842316422367429E-2</v>
      </c>
      <c r="AO31" s="1">
        <v>0</v>
      </c>
      <c r="AP31" s="1">
        <v>-0.3908803790257141</v>
      </c>
      <c r="AQ31" s="1">
        <v>0</v>
      </c>
    </row>
    <row r="32" spans="1:43" ht="13" customHeight="1">
      <c r="A32" s="22">
        <v>41142</v>
      </c>
      <c r="B32" s="23">
        <v>0.89583333333333337</v>
      </c>
      <c r="C32" s="24">
        <v>27.904</v>
      </c>
      <c r="D32" s="24">
        <v>68.697000000000003</v>
      </c>
      <c r="E32" s="1">
        <v>0</v>
      </c>
      <c r="F32" s="24">
        <v>0</v>
      </c>
      <c r="G32" s="24">
        <v>0</v>
      </c>
      <c r="H32" s="24">
        <v>399.98763064577849</v>
      </c>
      <c r="I32" s="24">
        <v>465.70191636006422</v>
      </c>
      <c r="J32" s="25">
        <v>0.35499999999999998</v>
      </c>
      <c r="K32" s="25">
        <v>0.17799999999999999</v>
      </c>
      <c r="L32" s="4">
        <v>0.36</v>
      </c>
      <c r="M32" s="1">
        <v>2</v>
      </c>
      <c r="O32" s="25">
        <v>0.97</v>
      </c>
      <c r="Q32" s="1">
        <v>32.742026666666661</v>
      </c>
      <c r="R32" s="1">
        <v>0.1213071527184634</v>
      </c>
      <c r="X32" s="1">
        <v>30.462336000000001</v>
      </c>
      <c r="Y32" s="1">
        <v>24.612117376960001</v>
      </c>
      <c r="Z32" s="1">
        <v>29.09571877784969</v>
      </c>
      <c r="AA32" s="1">
        <v>1.1566090150782009</v>
      </c>
      <c r="AB32" s="1">
        <v>33.154871209660598</v>
      </c>
      <c r="AC32" s="1">
        <v>29.102256485905389</v>
      </c>
      <c r="AD32" s="1">
        <v>27.904</v>
      </c>
      <c r="AE32" s="1">
        <v>1.0039134966150109</v>
      </c>
      <c r="AF32" s="1">
        <v>-1.0779551263935161</v>
      </c>
      <c r="AG32" s="1">
        <v>0</v>
      </c>
      <c r="AH32" s="1">
        <v>1.2722981156839419</v>
      </c>
      <c r="AI32" s="1">
        <v>0</v>
      </c>
      <c r="AJ32" s="1">
        <v>0</v>
      </c>
      <c r="AK32" s="1">
        <v>27.935536251177641</v>
      </c>
      <c r="AL32" s="1">
        <v>27.904</v>
      </c>
      <c r="AM32" s="1">
        <v>0.32994525164536898</v>
      </c>
      <c r="AN32" s="1">
        <v>8.7807568350770762E-2</v>
      </c>
      <c r="AO32" s="1">
        <v>0</v>
      </c>
      <c r="AP32" s="1">
        <v>-0.38621656881849969</v>
      </c>
      <c r="AQ32" s="1">
        <v>0</v>
      </c>
    </row>
    <row r="33" spans="1:43" ht="13" customHeight="1">
      <c r="A33" s="22">
        <v>41142</v>
      </c>
      <c r="B33" s="23">
        <v>0.90277777777777779</v>
      </c>
      <c r="C33" s="24">
        <v>27.641999999999999</v>
      </c>
      <c r="D33" s="24">
        <v>69.837999999999994</v>
      </c>
      <c r="E33" s="1">
        <v>0</v>
      </c>
      <c r="F33" s="24">
        <v>0</v>
      </c>
      <c r="G33" s="24">
        <v>0</v>
      </c>
      <c r="H33" s="24">
        <v>403.66343109003691</v>
      </c>
      <c r="I33" s="24">
        <v>467.94914537575119</v>
      </c>
      <c r="J33" s="25">
        <v>0.35499999999999998</v>
      </c>
      <c r="K33" s="25">
        <v>0.17799999999999999</v>
      </c>
      <c r="L33" s="4">
        <v>0.36</v>
      </c>
      <c r="M33" s="1">
        <v>2</v>
      </c>
      <c r="O33" s="25">
        <v>0.97</v>
      </c>
      <c r="Q33" s="1">
        <v>32.703733333333332</v>
      </c>
      <c r="R33" s="1">
        <v>0.12019073406074759</v>
      </c>
      <c r="X33" s="1">
        <v>30.299503000000001</v>
      </c>
      <c r="Y33" s="1">
        <v>24.501760228319998</v>
      </c>
      <c r="Z33" s="1">
        <v>29.098119798099852</v>
      </c>
      <c r="AA33" s="1">
        <v>1.147937798937833</v>
      </c>
      <c r="AB33" s="1">
        <v>32.743607761543927</v>
      </c>
      <c r="AC33" s="1">
        <v>29.21710265586163</v>
      </c>
      <c r="AD33" s="1">
        <v>27.641999999999999</v>
      </c>
      <c r="AE33" s="1">
        <v>1.049191715866002</v>
      </c>
      <c r="AF33" s="1">
        <v>-0.71930222150660827</v>
      </c>
      <c r="AG33" s="1">
        <v>0</v>
      </c>
      <c r="AH33" s="1">
        <v>1.245213161502277</v>
      </c>
      <c r="AI33" s="1">
        <v>0</v>
      </c>
      <c r="AJ33" s="1">
        <v>0</v>
      </c>
      <c r="AK33" s="1">
        <v>28.05975835097346</v>
      </c>
      <c r="AL33" s="1">
        <v>27.641999999999999</v>
      </c>
      <c r="AM33" s="1">
        <v>0.34601628072634649</v>
      </c>
      <c r="AN33" s="1">
        <v>0.45476673371431392</v>
      </c>
      <c r="AO33" s="1">
        <v>0</v>
      </c>
      <c r="AP33" s="1">
        <v>-0.38302466346719988</v>
      </c>
      <c r="AQ33" s="1">
        <v>0</v>
      </c>
    </row>
    <row r="34" spans="1:43" ht="13" customHeight="1">
      <c r="A34" s="22">
        <v>41142</v>
      </c>
      <c r="B34" s="23">
        <v>0.90972222222222221</v>
      </c>
      <c r="C34" s="24">
        <v>27.797999999999998</v>
      </c>
      <c r="D34" s="24">
        <v>69.929000000000002</v>
      </c>
      <c r="E34" s="1">
        <v>0</v>
      </c>
      <c r="F34" s="24">
        <v>0</v>
      </c>
      <c r="G34" s="24">
        <v>0</v>
      </c>
      <c r="H34" s="24">
        <v>398.98020822427952</v>
      </c>
      <c r="I34" s="24">
        <v>461.83735108142241</v>
      </c>
      <c r="J34" s="25">
        <v>0.35499999999999998</v>
      </c>
      <c r="K34" s="25">
        <v>0.17799999999999999</v>
      </c>
      <c r="L34" s="4">
        <v>0.36</v>
      </c>
      <c r="M34" s="1">
        <v>2</v>
      </c>
      <c r="O34" s="25">
        <v>0.97</v>
      </c>
      <c r="Q34" s="1">
        <v>32.763266666666667</v>
      </c>
      <c r="R34" s="1">
        <v>0.121069582424047</v>
      </c>
      <c r="X34" s="1">
        <v>30.396457000000002</v>
      </c>
      <c r="Y34" s="1">
        <v>24.659022718639999</v>
      </c>
      <c r="Z34" s="1">
        <v>29.001786652672969</v>
      </c>
      <c r="AA34" s="1">
        <v>1.1072180477918341</v>
      </c>
      <c r="AB34" s="1">
        <v>30.84476090573672</v>
      </c>
      <c r="AC34" s="1">
        <v>28.910799852715009</v>
      </c>
      <c r="AD34" s="1">
        <v>27.797999999999998</v>
      </c>
      <c r="AE34" s="1">
        <v>1.031349798127764</v>
      </c>
      <c r="AF34" s="1">
        <v>-1.2362355672950649</v>
      </c>
      <c r="AG34" s="1">
        <v>0</v>
      </c>
      <c r="AH34" s="1">
        <v>1.3176856218823609</v>
      </c>
      <c r="AI34" s="1">
        <v>0</v>
      </c>
      <c r="AJ34" s="1">
        <v>0</v>
      </c>
      <c r="AK34" s="1">
        <v>27.754488014441829</v>
      </c>
      <c r="AL34" s="1">
        <v>27.797999999999998</v>
      </c>
      <c r="AM34" s="1">
        <v>0.33788653310881139</v>
      </c>
      <c r="AN34" s="1">
        <v>-2.2262522739379169E-2</v>
      </c>
      <c r="AO34" s="1">
        <v>0</v>
      </c>
      <c r="AP34" s="1">
        <v>-0.35913599592760209</v>
      </c>
      <c r="AQ34" s="1">
        <v>0</v>
      </c>
    </row>
    <row r="35" spans="1:43" ht="13" customHeight="1">
      <c r="A35" s="22">
        <v>41142</v>
      </c>
      <c r="B35" s="23">
        <v>0.91666666666666663</v>
      </c>
      <c r="C35" s="24">
        <v>27.36</v>
      </c>
      <c r="D35" s="24">
        <v>72.040000000000006</v>
      </c>
      <c r="E35" s="1">
        <v>0</v>
      </c>
      <c r="F35" s="24">
        <v>0</v>
      </c>
      <c r="G35" s="24">
        <v>0</v>
      </c>
      <c r="H35" s="24">
        <v>402.65844832096121</v>
      </c>
      <c r="I35" s="24">
        <v>462.65844832096121</v>
      </c>
      <c r="J35" s="25">
        <v>0.35499999999999998</v>
      </c>
      <c r="K35" s="25">
        <v>0.17799999999999999</v>
      </c>
      <c r="L35" s="4">
        <v>0.36</v>
      </c>
      <c r="M35" s="1">
        <v>2</v>
      </c>
      <c r="O35" s="25">
        <v>0.97</v>
      </c>
      <c r="Q35" s="1">
        <v>32.734853333333326</v>
      </c>
      <c r="R35" s="1">
        <v>0.1194113097827454</v>
      </c>
      <c r="X35" s="1">
        <v>30.12424</v>
      </c>
      <c r="Y35" s="1">
        <v>24.495258048</v>
      </c>
      <c r="Z35" s="1">
        <v>28.897105353936059</v>
      </c>
      <c r="AA35" s="1">
        <v>1.056049382776169</v>
      </c>
      <c r="AB35" s="1">
        <v>28.538222475089398</v>
      </c>
      <c r="AC35" s="1">
        <v>28.917287350166362</v>
      </c>
      <c r="AD35" s="1">
        <v>27.36</v>
      </c>
      <c r="AE35" s="1">
        <v>1.115574804694623</v>
      </c>
      <c r="AF35" s="1">
        <v>-0.86226978103890184</v>
      </c>
      <c r="AG35" s="1">
        <v>0</v>
      </c>
      <c r="AH35" s="1">
        <v>1.303982326510682</v>
      </c>
      <c r="AI35" s="1">
        <v>0</v>
      </c>
      <c r="AJ35" s="1">
        <v>0</v>
      </c>
      <c r="AK35" s="1">
        <v>27.780767842289428</v>
      </c>
      <c r="AL35" s="1">
        <v>27.36</v>
      </c>
      <c r="AM35" s="1">
        <v>0.3663654475014641</v>
      </c>
      <c r="AN35" s="1">
        <v>0.40038798171354611</v>
      </c>
      <c r="AO35" s="1">
        <v>0</v>
      </c>
      <c r="AP35" s="1">
        <v>-0.34598558692557713</v>
      </c>
      <c r="AQ35" s="1">
        <v>0</v>
      </c>
    </row>
    <row r="36" spans="1:43" ht="13" customHeight="1">
      <c r="A36" s="22">
        <v>41142</v>
      </c>
      <c r="B36" s="23">
        <v>0.92361111111111116</v>
      </c>
      <c r="C36" s="24">
        <v>27.367000000000001</v>
      </c>
      <c r="D36" s="24">
        <v>72.081000000000003</v>
      </c>
      <c r="E36" s="1">
        <v>0</v>
      </c>
      <c r="F36" s="24">
        <v>1.428571428571429</v>
      </c>
      <c r="G36" s="24">
        <v>0.1714285714285714</v>
      </c>
      <c r="H36" s="24">
        <v>400.62301159824432</v>
      </c>
      <c r="I36" s="24">
        <v>460.62301159824432</v>
      </c>
      <c r="J36" s="25">
        <v>0.35499999999999998</v>
      </c>
      <c r="K36" s="25">
        <v>0.17799999999999999</v>
      </c>
      <c r="L36" s="4">
        <v>0.36</v>
      </c>
      <c r="M36" s="1">
        <v>2</v>
      </c>
      <c r="O36" s="25">
        <v>0.97</v>
      </c>
      <c r="Q36" s="1">
        <v>32.767493333333327</v>
      </c>
      <c r="R36" s="1">
        <v>0.1200866572483129</v>
      </c>
      <c r="X36" s="1">
        <v>30.128590500000001</v>
      </c>
      <c r="Y36" s="1">
        <v>24.506685322839999</v>
      </c>
      <c r="Z36" s="1">
        <v>28.811926014025381</v>
      </c>
      <c r="AA36" s="1">
        <v>1.0294604179484319</v>
      </c>
      <c r="AB36" s="1">
        <v>27.376422411746891</v>
      </c>
      <c r="AC36" s="1">
        <v>28.78476265231691</v>
      </c>
      <c r="AD36" s="1">
        <v>27.367000000000001</v>
      </c>
      <c r="AE36" s="1">
        <v>1.1217825880156089</v>
      </c>
      <c r="AF36" s="1">
        <v>-1.036137532826799</v>
      </c>
      <c r="AG36" s="1">
        <v>0</v>
      </c>
      <c r="AH36" s="1">
        <v>1.332117597128152</v>
      </c>
      <c r="AI36" s="1">
        <v>0</v>
      </c>
      <c r="AJ36" s="1">
        <v>0</v>
      </c>
      <c r="AK36" s="1">
        <v>27.644812123241291</v>
      </c>
      <c r="AL36" s="1">
        <v>27.367000000000001</v>
      </c>
      <c r="AM36" s="1">
        <v>0.36748192439827948</v>
      </c>
      <c r="AN36" s="1">
        <v>0.25332076035727719</v>
      </c>
      <c r="AO36" s="1">
        <v>0</v>
      </c>
      <c r="AP36" s="1">
        <v>-0.34299056151426799</v>
      </c>
      <c r="AQ36" s="1">
        <v>0</v>
      </c>
    </row>
    <row r="37" spans="1:43" ht="13" customHeight="1">
      <c r="A37" s="22">
        <v>41142</v>
      </c>
      <c r="B37" s="23">
        <v>0.93055555555555558</v>
      </c>
      <c r="C37" s="24">
        <v>27.254000000000001</v>
      </c>
      <c r="D37" s="24">
        <v>73.221999999999994</v>
      </c>
      <c r="E37" s="1">
        <v>0</v>
      </c>
      <c r="F37" s="24">
        <v>0</v>
      </c>
      <c r="G37" s="24">
        <v>0</v>
      </c>
      <c r="H37" s="24">
        <v>400.01675479197132</v>
      </c>
      <c r="I37" s="24">
        <v>461.44532622054271</v>
      </c>
      <c r="J37" s="25">
        <v>0.35499999999999998</v>
      </c>
      <c r="K37" s="25">
        <v>0.17799999999999999</v>
      </c>
      <c r="L37" s="4">
        <v>0.36</v>
      </c>
      <c r="M37" s="1">
        <v>2</v>
      </c>
      <c r="O37" s="25">
        <v>0.97</v>
      </c>
      <c r="Q37" s="1">
        <v>32.768346666666673</v>
      </c>
      <c r="R37" s="1">
        <v>0.11930125256777591</v>
      </c>
      <c r="X37" s="1">
        <v>30.058361000000001</v>
      </c>
      <c r="Y37" s="1">
        <v>24.53332257296</v>
      </c>
      <c r="Z37" s="1">
        <v>28.820244513309671</v>
      </c>
      <c r="AA37" s="1">
        <v>1.013153200532368</v>
      </c>
      <c r="AB37" s="1">
        <v>26.67674549240202</v>
      </c>
      <c r="AC37" s="1">
        <v>28.763607110930931</v>
      </c>
      <c r="AD37" s="1">
        <v>27.254000000000001</v>
      </c>
      <c r="AE37" s="1">
        <v>1.1454161791289681</v>
      </c>
      <c r="AF37" s="1">
        <v>-0.9793559476299144</v>
      </c>
      <c r="AG37" s="1">
        <v>0</v>
      </c>
      <c r="AH37" s="1">
        <v>1.3435468794319201</v>
      </c>
      <c r="AI37" s="1">
        <v>0</v>
      </c>
      <c r="AJ37" s="1">
        <v>0</v>
      </c>
      <c r="AK37" s="1">
        <v>27.634026655179721</v>
      </c>
      <c r="AL37" s="1">
        <v>27.254000000000001</v>
      </c>
      <c r="AM37" s="1">
        <v>0.3752404783279783</v>
      </c>
      <c r="AN37" s="1">
        <v>0.32930322506261361</v>
      </c>
      <c r="AO37" s="1">
        <v>0</v>
      </c>
      <c r="AP37" s="1">
        <v>-0.32451704821087468</v>
      </c>
      <c r="AQ37" s="1">
        <v>0</v>
      </c>
    </row>
    <row r="38" spans="1:43" ht="13" customHeight="1">
      <c r="A38" s="22">
        <v>41142</v>
      </c>
      <c r="B38" s="23">
        <v>0.9375</v>
      </c>
      <c r="C38" s="24">
        <v>27.218</v>
      </c>
      <c r="D38" s="24">
        <v>73.596000000000004</v>
      </c>
      <c r="E38" s="1">
        <v>0</v>
      </c>
      <c r="F38" s="24">
        <v>0</v>
      </c>
      <c r="G38" s="24">
        <v>0</v>
      </c>
      <c r="H38" s="24">
        <v>398.8060650156599</v>
      </c>
      <c r="I38" s="24">
        <v>458.8060650156599</v>
      </c>
      <c r="J38" s="25">
        <v>0.35499999999999998</v>
      </c>
      <c r="K38" s="25">
        <v>0.17799999999999999</v>
      </c>
      <c r="L38" s="4">
        <v>0.36</v>
      </c>
      <c r="M38" s="1">
        <v>2</v>
      </c>
      <c r="O38" s="25">
        <v>0.97</v>
      </c>
      <c r="Q38" s="1">
        <v>32.781386666666663</v>
      </c>
      <c r="R38" s="1">
        <v>0.1192887810467405</v>
      </c>
      <c r="X38" s="1">
        <v>30.035986999999999</v>
      </c>
      <c r="Y38" s="1">
        <v>24.542877309760001</v>
      </c>
      <c r="Z38" s="1">
        <v>28.731434526062412</v>
      </c>
      <c r="AA38" s="1">
        <v>0.9807032467558866</v>
      </c>
      <c r="AB38" s="1">
        <v>25.31424292064051</v>
      </c>
      <c r="AC38" s="1">
        <v>28.61750119804698</v>
      </c>
      <c r="AD38" s="1">
        <v>27.218</v>
      </c>
      <c r="AE38" s="1">
        <v>1.156510697639161</v>
      </c>
      <c r="AF38" s="1">
        <v>-1.124903212131342</v>
      </c>
      <c r="AG38" s="1">
        <v>0</v>
      </c>
      <c r="AH38" s="1">
        <v>1.367893712539207</v>
      </c>
      <c r="AI38" s="1">
        <v>0</v>
      </c>
      <c r="AJ38" s="1">
        <v>0</v>
      </c>
      <c r="AK38" s="1">
        <v>27.494549227568541</v>
      </c>
      <c r="AL38" s="1">
        <v>27.218</v>
      </c>
      <c r="AM38" s="1">
        <v>0.37793120060779473</v>
      </c>
      <c r="AN38" s="1">
        <v>0.21304529649282811</v>
      </c>
      <c r="AO38" s="1">
        <v>0</v>
      </c>
      <c r="AP38" s="1">
        <v>-0.3144272695320815</v>
      </c>
      <c r="AQ38" s="1">
        <v>0</v>
      </c>
    </row>
    <row r="39" spans="1:43" ht="13" customHeight="1">
      <c r="A39" s="22">
        <v>41142</v>
      </c>
      <c r="B39" s="23">
        <v>0.94444444444444442</v>
      </c>
      <c r="C39" s="24">
        <v>26.978000000000002</v>
      </c>
      <c r="D39" s="24">
        <v>74.131</v>
      </c>
      <c r="E39" s="1">
        <v>0.3</v>
      </c>
      <c r="F39" s="24">
        <v>0</v>
      </c>
      <c r="G39" s="24">
        <v>0</v>
      </c>
      <c r="H39" s="24">
        <v>400.23463644423128</v>
      </c>
      <c r="I39" s="24">
        <v>460.23463644423128</v>
      </c>
      <c r="J39" s="25">
        <v>0.35499999999999998</v>
      </c>
      <c r="K39" s="25">
        <v>0.17799999999999999</v>
      </c>
      <c r="L39" s="4">
        <v>0.36</v>
      </c>
      <c r="M39" s="1">
        <v>2</v>
      </c>
      <c r="O39" s="25">
        <v>0.97</v>
      </c>
      <c r="Q39" s="1">
        <v>32.753293333333332</v>
      </c>
      <c r="R39" s="1">
        <v>0.11840755725165041</v>
      </c>
      <c r="X39" s="1">
        <v>29.20526283896195</v>
      </c>
      <c r="Y39" s="1">
        <v>24.365162347832609</v>
      </c>
      <c r="Z39" s="1">
        <v>28.68065212491069</v>
      </c>
      <c r="AA39" s="1">
        <v>0.95147128413240201</v>
      </c>
      <c r="AB39" s="1">
        <v>24.121561148413431</v>
      </c>
      <c r="AC39" s="1">
        <v>27.623203490641881</v>
      </c>
      <c r="AD39" s="1">
        <v>26.978000000000002</v>
      </c>
      <c r="AE39" s="1">
        <v>0.37177034244935891</v>
      </c>
      <c r="AF39" s="1">
        <v>-0.69263947836001361</v>
      </c>
      <c r="AG39" s="1">
        <v>0</v>
      </c>
      <c r="AH39" s="1">
        <v>0.96607262655261306</v>
      </c>
      <c r="AI39" s="1">
        <v>0</v>
      </c>
      <c r="AJ39" s="1">
        <v>0</v>
      </c>
      <c r="AK39" s="1">
        <v>26.551260580747009</v>
      </c>
      <c r="AL39" s="1">
        <v>26.978000000000002</v>
      </c>
      <c r="AM39" s="1">
        <v>-0.35264207601601971</v>
      </c>
      <c r="AN39" s="1">
        <v>0.64817500334401645</v>
      </c>
      <c r="AO39" s="1">
        <v>0</v>
      </c>
      <c r="AP39" s="1">
        <v>-0.7222723465809866</v>
      </c>
      <c r="AQ39" s="1">
        <v>0</v>
      </c>
    </row>
    <row r="40" spans="1:43" ht="13" customHeight="1">
      <c r="A40" s="22">
        <v>41142</v>
      </c>
      <c r="B40" s="23">
        <v>0.95138888888888884</v>
      </c>
      <c r="C40" s="24">
        <v>27.062999999999999</v>
      </c>
      <c r="D40" s="24">
        <v>73.706999999999994</v>
      </c>
      <c r="E40" s="1">
        <v>0</v>
      </c>
      <c r="F40" s="24">
        <v>0</v>
      </c>
      <c r="G40" s="24">
        <v>0</v>
      </c>
      <c r="H40" s="24">
        <v>401.05877408941421</v>
      </c>
      <c r="I40" s="24">
        <v>458.20163123227138</v>
      </c>
      <c r="J40" s="25">
        <v>0.35499999999999998</v>
      </c>
      <c r="K40" s="25">
        <v>0.17799999999999999</v>
      </c>
      <c r="L40" s="4">
        <v>0.36</v>
      </c>
      <c r="M40" s="1">
        <v>2</v>
      </c>
      <c r="O40" s="25">
        <v>0.97</v>
      </c>
      <c r="Q40" s="1">
        <v>32.787746666666663</v>
      </c>
      <c r="R40" s="1">
        <v>0.11865049762284501</v>
      </c>
      <c r="X40" s="1">
        <v>29.9396545</v>
      </c>
      <c r="Y40" s="1">
        <v>24.40856581972</v>
      </c>
      <c r="Z40" s="1">
        <v>28.633009990222838</v>
      </c>
      <c r="AA40" s="1">
        <v>0.95907640713042352</v>
      </c>
      <c r="AB40" s="1">
        <v>24.428644681838719</v>
      </c>
      <c r="AC40" s="1">
        <v>28.608690182301181</v>
      </c>
      <c r="AD40" s="1">
        <v>27.062999999999999</v>
      </c>
      <c r="AE40" s="1">
        <v>1.189691114614021</v>
      </c>
      <c r="AF40" s="1">
        <v>-0.99115305792451491</v>
      </c>
      <c r="AG40" s="1">
        <v>0</v>
      </c>
      <c r="AH40" s="1">
        <v>1.3471521256117249</v>
      </c>
      <c r="AI40" s="1">
        <v>0</v>
      </c>
      <c r="AJ40" s="1">
        <v>0</v>
      </c>
      <c r="AK40" s="1">
        <v>27.49304260239769</v>
      </c>
      <c r="AL40" s="1">
        <v>27.062999999999999</v>
      </c>
      <c r="AM40" s="1">
        <v>0.38915091707455118</v>
      </c>
      <c r="AN40" s="1">
        <v>0.36725776767285462</v>
      </c>
      <c r="AO40" s="1">
        <v>0</v>
      </c>
      <c r="AP40" s="1">
        <v>-0.32636608234970982</v>
      </c>
      <c r="AQ40" s="1">
        <v>0</v>
      </c>
    </row>
    <row r="41" spans="1:43" ht="13" customHeight="1">
      <c r="A41" s="22">
        <v>41142</v>
      </c>
      <c r="B41" s="23">
        <v>0.95833333333333337</v>
      </c>
      <c r="C41" s="24">
        <v>27.033999999999999</v>
      </c>
      <c r="D41" s="24">
        <v>73.808000000000007</v>
      </c>
      <c r="E41" s="1">
        <v>0</v>
      </c>
      <c r="F41" s="24">
        <v>0</v>
      </c>
      <c r="G41" s="24">
        <v>0</v>
      </c>
      <c r="H41" s="24">
        <v>399.63020266084283</v>
      </c>
      <c r="I41" s="24">
        <v>456.77305980369988</v>
      </c>
      <c r="J41" s="25">
        <v>0.35499999999999998</v>
      </c>
      <c r="K41" s="25">
        <v>0.17799999999999999</v>
      </c>
      <c r="L41" s="4">
        <v>0.36</v>
      </c>
      <c r="M41" s="1">
        <v>2</v>
      </c>
      <c r="O41" s="25">
        <v>0.97</v>
      </c>
      <c r="Q41" s="1">
        <v>32.799439999999997</v>
      </c>
      <c r="R41" s="1">
        <v>0.1186737372367552</v>
      </c>
      <c r="X41" s="1">
        <v>29.921631000000001</v>
      </c>
      <c r="Y41" s="1">
        <v>24.39275957824</v>
      </c>
      <c r="Z41" s="1">
        <v>28.547329237437008</v>
      </c>
      <c r="AA41" s="1">
        <v>0.93344508670795445</v>
      </c>
      <c r="AB41" s="1">
        <v>23.402808536193401</v>
      </c>
      <c r="AC41" s="1">
        <v>28.495565166735361</v>
      </c>
      <c r="AD41" s="1">
        <v>27.033999999999999</v>
      </c>
      <c r="AE41" s="1">
        <v>1.1988446377394539</v>
      </c>
      <c r="AF41" s="1">
        <v>-1.0984490577716639</v>
      </c>
      <c r="AG41" s="1">
        <v>0</v>
      </c>
      <c r="AH41" s="1">
        <v>1.361169586767633</v>
      </c>
      <c r="AI41" s="1">
        <v>0</v>
      </c>
      <c r="AJ41" s="1">
        <v>0</v>
      </c>
      <c r="AK41" s="1">
        <v>27.38467950730211</v>
      </c>
      <c r="AL41" s="1">
        <v>27.033999999999999</v>
      </c>
      <c r="AM41" s="1">
        <v>0.39142139590220909</v>
      </c>
      <c r="AN41" s="1">
        <v>0.28268749063274762</v>
      </c>
      <c r="AO41" s="1">
        <v>0</v>
      </c>
      <c r="AP41" s="1">
        <v>-0.32342937923284459</v>
      </c>
      <c r="AQ41" s="1">
        <v>0</v>
      </c>
    </row>
    <row r="42" spans="1:43" ht="13" customHeight="1">
      <c r="A42" s="22">
        <v>41142</v>
      </c>
      <c r="B42" s="23">
        <v>0.96527777777777779</v>
      </c>
      <c r="C42" s="24">
        <v>26.971</v>
      </c>
      <c r="D42" s="24">
        <v>74.313000000000002</v>
      </c>
      <c r="E42" s="1">
        <v>0</v>
      </c>
      <c r="F42" s="24">
        <v>0</v>
      </c>
      <c r="G42" s="24">
        <v>0</v>
      </c>
      <c r="H42" s="24">
        <v>400.45494716719747</v>
      </c>
      <c r="I42" s="24">
        <v>457.59780431005458</v>
      </c>
      <c r="J42" s="25">
        <v>0.35499999999999998</v>
      </c>
      <c r="K42" s="25">
        <v>0.17799999999999999</v>
      </c>
      <c r="L42" s="4">
        <v>0.36</v>
      </c>
      <c r="M42" s="1">
        <v>2</v>
      </c>
      <c r="O42" s="25">
        <v>0.97</v>
      </c>
      <c r="Q42" s="1">
        <v>32.802120000000002</v>
      </c>
      <c r="R42" s="1">
        <v>0.1184208151311013</v>
      </c>
      <c r="X42" s="1">
        <v>29.882476499999999</v>
      </c>
      <c r="Y42" s="1">
        <v>24.391535295160001</v>
      </c>
      <c r="Z42" s="1">
        <v>28.575122770964491</v>
      </c>
      <c r="AA42" s="1">
        <v>0.93416987073583424</v>
      </c>
      <c r="AB42" s="1">
        <v>23.43145876105028</v>
      </c>
      <c r="AC42" s="1">
        <v>28.539036631246169</v>
      </c>
      <c r="AD42" s="1">
        <v>26.971</v>
      </c>
      <c r="AE42" s="1">
        <v>1.212106298601658</v>
      </c>
      <c r="AF42" s="1">
        <v>-1.003319030502769</v>
      </c>
      <c r="AG42" s="1">
        <v>0</v>
      </c>
      <c r="AH42" s="1">
        <v>1.3592493631473299</v>
      </c>
      <c r="AI42" s="1">
        <v>0</v>
      </c>
      <c r="AJ42" s="1">
        <v>0</v>
      </c>
      <c r="AK42" s="1">
        <v>27.428807472007851</v>
      </c>
      <c r="AL42" s="1">
        <v>26.971</v>
      </c>
      <c r="AM42" s="1">
        <v>0.39616187216653981</v>
      </c>
      <c r="AN42" s="1">
        <v>0.38099540733276688</v>
      </c>
      <c r="AO42" s="1">
        <v>0</v>
      </c>
      <c r="AP42" s="1">
        <v>-0.31934980749145531</v>
      </c>
      <c r="AQ42" s="1">
        <v>0</v>
      </c>
    </row>
    <row r="43" spans="1:43" ht="13" customHeight="1">
      <c r="A43" s="22">
        <v>41142</v>
      </c>
      <c r="B43" s="23">
        <v>0.97222222222222221</v>
      </c>
      <c r="C43" s="24">
        <v>26.978000000000002</v>
      </c>
      <c r="D43" s="24">
        <v>74.929000000000002</v>
      </c>
      <c r="E43" s="1">
        <v>0</v>
      </c>
      <c r="F43" s="24">
        <v>0</v>
      </c>
      <c r="G43" s="24">
        <v>0</v>
      </c>
      <c r="H43" s="24">
        <v>399.85172669981768</v>
      </c>
      <c r="I43" s="24">
        <v>456.99458384267479</v>
      </c>
      <c r="J43" s="25">
        <v>0.35499999999999998</v>
      </c>
      <c r="K43" s="25">
        <v>0.17799999999999999</v>
      </c>
      <c r="L43" s="4">
        <v>0.36</v>
      </c>
      <c r="M43" s="1">
        <v>2</v>
      </c>
      <c r="O43" s="25">
        <v>0.97</v>
      </c>
      <c r="Q43" s="1">
        <v>32.816479999999999</v>
      </c>
      <c r="R43" s="1">
        <v>0.11850067523970979</v>
      </c>
      <c r="X43" s="1">
        <v>29.886827</v>
      </c>
      <c r="Y43" s="1">
        <v>24.469763521040001</v>
      </c>
      <c r="Z43" s="1">
        <v>28.612833856116762</v>
      </c>
      <c r="AA43" s="1">
        <v>0.93088270929791317</v>
      </c>
      <c r="AB43" s="1">
        <v>23.30168737322856</v>
      </c>
      <c r="AC43" s="1">
        <v>28.5155545997419</v>
      </c>
      <c r="AD43" s="1">
        <v>26.978000000000002</v>
      </c>
      <c r="AE43" s="1">
        <v>1.213911932428853</v>
      </c>
      <c r="AF43" s="1">
        <v>-1.057352813600883</v>
      </c>
      <c r="AG43" s="1">
        <v>0</v>
      </c>
      <c r="AH43" s="1">
        <v>1.3809954809139831</v>
      </c>
      <c r="AI43" s="1">
        <v>0</v>
      </c>
      <c r="AJ43" s="1">
        <v>0</v>
      </c>
      <c r="AK43" s="1">
        <v>27.405101887611622</v>
      </c>
      <c r="AL43" s="1">
        <v>26.978000000000002</v>
      </c>
      <c r="AM43" s="1">
        <v>0.39646576858740912</v>
      </c>
      <c r="AN43" s="1">
        <v>0.3352032334096014</v>
      </c>
      <c r="AO43" s="1">
        <v>0</v>
      </c>
      <c r="AP43" s="1">
        <v>-0.30456711438539641</v>
      </c>
      <c r="AQ43" s="1">
        <v>0</v>
      </c>
    </row>
    <row r="44" spans="1:43" ht="13" customHeight="1">
      <c r="A44" s="22">
        <v>41142</v>
      </c>
      <c r="B44" s="23">
        <v>0.97916666666666663</v>
      </c>
      <c r="C44" s="24">
        <v>27.14</v>
      </c>
      <c r="D44" s="24">
        <v>74.525000000000006</v>
      </c>
      <c r="E44" s="1">
        <v>0</v>
      </c>
      <c r="F44" s="24">
        <v>0</v>
      </c>
      <c r="G44" s="24">
        <v>0</v>
      </c>
      <c r="H44" s="24">
        <v>401.28029812838912</v>
      </c>
      <c r="I44" s="24">
        <v>455.5660124141034</v>
      </c>
      <c r="J44" s="25">
        <v>0.35499999999999998</v>
      </c>
      <c r="K44" s="25">
        <v>0.17799999999999999</v>
      </c>
      <c r="L44" s="4">
        <v>0.36</v>
      </c>
      <c r="M44" s="1">
        <v>2</v>
      </c>
      <c r="O44" s="25">
        <v>0.97</v>
      </c>
      <c r="Q44" s="1">
        <v>32.860200000000013</v>
      </c>
      <c r="R44" s="1">
        <v>0.11895070484806849</v>
      </c>
      <c r="X44" s="1">
        <v>29.98751</v>
      </c>
      <c r="Y44" s="1">
        <v>24.577151820000001</v>
      </c>
      <c r="Z44" s="1">
        <v>28.729373768712112</v>
      </c>
      <c r="AA44" s="1">
        <v>0.96384614303181204</v>
      </c>
      <c r="AB44" s="1">
        <v>24.622396241544759</v>
      </c>
      <c r="AC44" s="1">
        <v>28.58977582956383</v>
      </c>
      <c r="AD44" s="1">
        <v>27.14</v>
      </c>
      <c r="AE44" s="1">
        <v>1.1891938068569969</v>
      </c>
      <c r="AF44" s="1">
        <v>-1.1285296707415531</v>
      </c>
      <c r="AG44" s="1">
        <v>0</v>
      </c>
      <c r="AH44" s="1">
        <v>1.38911169344843</v>
      </c>
      <c r="AI44" s="1">
        <v>0</v>
      </c>
      <c r="AJ44" s="1">
        <v>0</v>
      </c>
      <c r="AK44" s="1">
        <v>27.468706662700381</v>
      </c>
      <c r="AL44" s="1">
        <v>27.14</v>
      </c>
      <c r="AM44" s="1">
        <v>0.38852340722378198</v>
      </c>
      <c r="AN44" s="1">
        <v>0.244652616445722</v>
      </c>
      <c r="AO44" s="1">
        <v>0</v>
      </c>
      <c r="AP44" s="1">
        <v>-0.30446936096912752</v>
      </c>
      <c r="AQ44" s="1">
        <v>0</v>
      </c>
    </row>
    <row r="45" spans="1:43" ht="13" customHeight="1">
      <c r="A45" s="22">
        <v>41142</v>
      </c>
      <c r="B45" s="23">
        <v>0.98611111111111116</v>
      </c>
      <c r="C45" s="24">
        <v>27.056000000000001</v>
      </c>
      <c r="D45" s="24">
        <v>75.131</v>
      </c>
      <c r="E45" s="1">
        <v>0</v>
      </c>
      <c r="F45" s="24">
        <v>0</v>
      </c>
      <c r="G45" s="24">
        <v>0</v>
      </c>
      <c r="H45" s="24">
        <v>402.10625513821827</v>
      </c>
      <c r="I45" s="24">
        <v>453.53482656678972</v>
      </c>
      <c r="J45" s="25">
        <v>0.35499999999999998</v>
      </c>
      <c r="K45" s="25">
        <v>0.17799999999999999</v>
      </c>
      <c r="L45" s="4">
        <v>0.36</v>
      </c>
      <c r="M45" s="1">
        <v>2</v>
      </c>
      <c r="O45" s="25">
        <v>0.97</v>
      </c>
      <c r="Q45" s="1">
        <v>32.84984</v>
      </c>
      <c r="R45" s="1">
        <v>0.1186188696492759</v>
      </c>
      <c r="X45" s="1">
        <v>29.935303999999999</v>
      </c>
      <c r="Y45" s="1">
        <v>24.567672861119998</v>
      </c>
      <c r="Z45" s="1">
        <v>28.67928247215179</v>
      </c>
      <c r="AA45" s="1">
        <v>0.94068139548621643</v>
      </c>
      <c r="AB45" s="1">
        <v>23.68979221853839</v>
      </c>
      <c r="AC45" s="1">
        <v>28.51749802078788</v>
      </c>
      <c r="AD45" s="1">
        <v>27.056000000000001</v>
      </c>
      <c r="AE45" s="1">
        <v>1.2048485407594021</v>
      </c>
      <c r="AF45" s="1">
        <v>-1.1425306269696911</v>
      </c>
      <c r="AG45" s="1">
        <v>0</v>
      </c>
      <c r="AH45" s="1">
        <v>1.399180106998221</v>
      </c>
      <c r="AI45" s="1">
        <v>0</v>
      </c>
      <c r="AJ45" s="1">
        <v>0</v>
      </c>
      <c r="AK45" s="1">
        <v>27.404433713340481</v>
      </c>
      <c r="AL45" s="1">
        <v>27.056000000000001</v>
      </c>
      <c r="AM45" s="1">
        <v>0.39327944441008439</v>
      </c>
      <c r="AN45" s="1">
        <v>0.24974409860282609</v>
      </c>
      <c r="AO45" s="1">
        <v>0</v>
      </c>
      <c r="AP45" s="1">
        <v>-0.29458982967243058</v>
      </c>
      <c r="AQ45" s="1">
        <v>0</v>
      </c>
    </row>
    <row r="46" spans="1:43" ht="13" customHeight="1">
      <c r="A46" s="22">
        <v>41142</v>
      </c>
      <c r="B46" s="23">
        <v>0.99305555555555558</v>
      </c>
      <c r="C46" s="24">
        <v>26.751999999999999</v>
      </c>
      <c r="D46" s="24">
        <v>76.716999999999999</v>
      </c>
      <c r="E46" s="1">
        <v>0</v>
      </c>
      <c r="F46" s="24">
        <v>0</v>
      </c>
      <c r="G46" s="24">
        <v>0</v>
      </c>
      <c r="H46" s="24">
        <v>402.93281779062318</v>
      </c>
      <c r="I46" s="24">
        <v>451.50424636205179</v>
      </c>
      <c r="J46" s="25">
        <v>0.35499999999999998</v>
      </c>
      <c r="K46" s="25">
        <v>0.17799999999999999</v>
      </c>
      <c r="L46" s="4">
        <v>0.36</v>
      </c>
      <c r="M46" s="1">
        <v>2</v>
      </c>
      <c r="O46" s="25">
        <v>0.97</v>
      </c>
      <c r="Q46" s="1">
        <v>32.794439999999987</v>
      </c>
      <c r="R46" s="1">
        <v>0.1175527955210191</v>
      </c>
      <c r="X46" s="1">
        <v>29.746368</v>
      </c>
      <c r="Y46" s="1">
        <v>24.46074869728</v>
      </c>
      <c r="Z46" s="1">
        <v>28.511931238817581</v>
      </c>
      <c r="AA46" s="1">
        <v>0.87514446681500191</v>
      </c>
      <c r="AB46" s="1">
        <v>21.16757028671945</v>
      </c>
      <c r="AC46" s="1">
        <v>28.355148044513811</v>
      </c>
      <c r="AD46" s="1">
        <v>26.751999999999999</v>
      </c>
      <c r="AE46" s="1">
        <v>1.2570618254339549</v>
      </c>
      <c r="AF46" s="1">
        <v>-1.060806121178947</v>
      </c>
      <c r="AG46" s="1">
        <v>0</v>
      </c>
      <c r="AH46" s="1">
        <v>1.4068923402588609</v>
      </c>
      <c r="AI46" s="1">
        <v>0</v>
      </c>
      <c r="AJ46" s="1">
        <v>0</v>
      </c>
      <c r="AK46" s="1">
        <v>27.265119747809489</v>
      </c>
      <c r="AL46" s="1">
        <v>26.751999999999999</v>
      </c>
      <c r="AM46" s="1">
        <v>0.40978723357678931</v>
      </c>
      <c r="AN46" s="1">
        <v>0.38012302553388699</v>
      </c>
      <c r="AO46" s="1">
        <v>0</v>
      </c>
      <c r="AP46" s="1">
        <v>-0.27679051130119059</v>
      </c>
      <c r="AQ46" s="1">
        <v>0</v>
      </c>
    </row>
  </sheetData>
  <phoneticPr fontId="2"/>
  <conditionalFormatting sqref="A7">
    <cfRule type="expression" dxfId="17" priority="5" stopIfTrue="1">
      <formula>$A$6="Input directly"</formula>
    </cfRule>
    <cfRule type="expression" dxfId="16" priority="6">
      <formula>$A$6="Estimating by albedo"</formula>
    </cfRule>
  </conditionalFormatting>
  <conditionalFormatting sqref="A3:F7">
    <cfRule type="expression" dxfId="15" priority="3">
      <formula>$A$2="Exclude"</formula>
    </cfRule>
  </conditionalFormatting>
  <conditionalFormatting sqref="C7">
    <cfRule type="expression" dxfId="14" priority="4">
      <formula>$A$6="Input directly"</formula>
    </cfRule>
  </conditionalFormatting>
  <conditionalFormatting sqref="G2:K2">
    <cfRule type="expression" dxfId="13" priority="1">
      <formula>$A$2=Exclude</formula>
    </cfRule>
    <cfRule type="expression" dxfId="12" priority="2">
      <formula>$A$2="Exclude"</formula>
    </cfRule>
  </conditionalFormatting>
  <dataValidations count="9">
    <dataValidation type="list" allowBlank="1" showInputMessage="1" showErrorMessage="1" sqref="A2" xr:uid="{00000000-0002-0000-0400-000000000000}">
      <formula1>"Include,Exclude"</formula1>
    </dataValidation>
    <dataValidation type="list" allowBlank="1" showInputMessage="1" showErrorMessage="1" sqref="A6" xr:uid="{00000000-0002-0000-0400-000001000000}">
      <formula1>"Input directly,Estimate by albedo"</formula1>
    </dataValidation>
    <dataValidation type="list" allowBlank="1" showInputMessage="1" showErrorMessage="1" sqref="G7" xr:uid="{00000000-0002-0000-0400-000002000000}">
      <formula1>"Ld and Lu,Mean radiant temp"</formula1>
    </dataValidation>
    <dataValidation type="list" allowBlank="1" showInputMessage="1" showErrorMessage="1" sqref="G6" xr:uid="{00000000-0002-0000-0400-000003000000}">
      <formula1>"Relative humidity,Wet-bulb temp,Humidity ratio,Vapor pressure"</formula1>
    </dataValidation>
    <dataValidation type="list" allowBlank="1" showInputMessage="1" showErrorMessage="1" sqref="L3" xr:uid="{00000000-0002-0000-0400-000004000000}">
      <formula1>"Input directly,Two-node model"</formula1>
    </dataValidation>
    <dataValidation type="list" allowBlank="1" showInputMessage="1" showErrorMessage="1" sqref="G5" xr:uid="{00000000-0002-0000-0400-000005000000}">
      <formula1>"Two-node model, Kuwabara's formula"</formula1>
    </dataValidation>
    <dataValidation type="list" allowBlank="1" showInputMessage="1" showErrorMessage="1" sqref="A5" xr:uid="{00000000-0002-0000-0400-000006000000}">
      <formula1>"+14,+13,+12:45,+12,+11:30,+11,+10:30,+10,+9:30,+9,+8:45,+8,+7,+6:30,+6,+5:45,+5:30,+5,+4:30,+4,+3:30,+3,+2,+1,0,-1,-2,-3,-3:30,-4,-4:30,-5,-6,-7,-8,-9,-9:30,-10,-11,-12"</formula1>
    </dataValidation>
    <dataValidation type="list" allowBlank="1" showInputMessage="1" showErrorMessage="1" sqref="B4" xr:uid="{00000000-0002-0000-0400-000007000000}">
      <formula1>"E,W"</formula1>
    </dataValidation>
    <dataValidation type="list" allowBlank="1" showInputMessage="1" showErrorMessage="1" sqref="B3" xr:uid="{00000000-0002-0000-0400-000008000000}">
      <formula1>"N,S"</formula1>
    </dataValidation>
  </dataValidations>
  <pageMargins left="0.7" right="0.7" top="0.75" bottom="0.75" header="0.51200000000000001" footer="0.51200000000000001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53"/>
  <sheetViews>
    <sheetView zoomScale="70" zoomScaleNormal="70" workbookViewId="0">
      <pane ySplit="9" topLeftCell="A10" activePane="bottomLeft" state="frozenSplit"/>
      <selection pane="bottomLeft" activeCell="T14" sqref="T14"/>
    </sheetView>
  </sheetViews>
  <sheetFormatPr defaultColWidth="10.69921875" defaultRowHeight="13" customHeight="1"/>
  <cols>
    <col min="1" max="1" width="12.69921875" style="22" customWidth="1"/>
    <col min="2" max="2" width="12.69921875" style="23" customWidth="1"/>
    <col min="3" max="4" width="12.69921875" style="24" customWidth="1"/>
    <col min="5" max="5" width="12.69921875" style="1" customWidth="1"/>
    <col min="6" max="9" width="12.69921875" style="24" customWidth="1"/>
    <col min="10" max="11" width="12.69921875" style="25" customWidth="1"/>
    <col min="12" max="19" width="12.69921875" style="1" customWidth="1"/>
    <col min="20" max="16384" width="10.69921875" style="1"/>
  </cols>
  <sheetData>
    <row r="1" spans="1:43" ht="13" customHeight="1">
      <c r="A1" s="5" t="s">
        <v>0</v>
      </c>
      <c r="B1" s="5"/>
      <c r="C1" s="26"/>
      <c r="D1" s="26"/>
      <c r="E1" s="5"/>
      <c r="F1" s="26"/>
      <c r="G1" s="26"/>
      <c r="H1" s="26"/>
      <c r="I1" s="26"/>
      <c r="J1" s="27"/>
      <c r="K1" s="27"/>
      <c r="L1" s="5"/>
      <c r="M1" s="5"/>
      <c r="N1" s="5"/>
      <c r="O1" s="5"/>
      <c r="P1" s="5"/>
      <c r="Q1" s="5"/>
      <c r="R1" s="5"/>
      <c r="S1" s="5"/>
      <c r="T1" s="2"/>
      <c r="Z1" s="2"/>
    </row>
    <row r="2" spans="1:43" s="4" customFormat="1" ht="13" customHeight="1">
      <c r="A2" s="15" t="s">
        <v>1</v>
      </c>
      <c r="B2" s="16"/>
      <c r="C2" s="28" t="s">
        <v>2</v>
      </c>
      <c r="D2" s="28"/>
      <c r="E2" s="16"/>
      <c r="F2" s="28"/>
      <c r="G2" s="29">
        <v>0.97</v>
      </c>
      <c r="H2" s="28"/>
      <c r="I2" s="28" t="s">
        <v>3</v>
      </c>
      <c r="J2" s="30"/>
      <c r="K2" s="30"/>
      <c r="L2" s="29"/>
      <c r="M2" s="16"/>
      <c r="N2" s="16" t="s">
        <v>4</v>
      </c>
      <c r="O2" s="16"/>
      <c r="P2" s="16"/>
      <c r="Q2" s="16"/>
      <c r="R2" s="16"/>
      <c r="S2" s="16"/>
      <c r="T2" s="17"/>
      <c r="Z2" s="17"/>
      <c r="AD2" s="18"/>
      <c r="AK2" s="18"/>
    </row>
    <row r="3" spans="1:43" s="4" customFormat="1" ht="13" customHeight="1">
      <c r="A3" s="4">
        <v>35</v>
      </c>
      <c r="B3" s="15" t="s">
        <v>5</v>
      </c>
      <c r="C3" s="28" t="s">
        <v>6</v>
      </c>
      <c r="D3" s="28"/>
      <c r="E3" s="16"/>
      <c r="F3" s="28"/>
      <c r="G3" s="4">
        <v>1.2</v>
      </c>
      <c r="H3" s="28"/>
      <c r="I3" s="28" t="s">
        <v>7</v>
      </c>
      <c r="J3" s="30"/>
      <c r="K3" s="30"/>
      <c r="L3" s="15" t="s">
        <v>8</v>
      </c>
      <c r="M3" s="16"/>
      <c r="N3" s="16" t="s">
        <v>9</v>
      </c>
      <c r="O3" s="16"/>
      <c r="P3" s="16"/>
      <c r="Q3" s="16"/>
      <c r="R3" s="16"/>
      <c r="S3" s="16"/>
      <c r="T3" s="17"/>
      <c r="Z3" s="17"/>
      <c r="AD3" s="18"/>
      <c r="AK3" s="18"/>
    </row>
    <row r="4" spans="1:43" s="4" customFormat="1" ht="13" customHeight="1">
      <c r="A4" s="4">
        <v>135</v>
      </c>
      <c r="B4" s="15" t="s">
        <v>10</v>
      </c>
      <c r="C4" s="28" t="s">
        <v>11</v>
      </c>
      <c r="D4" s="28"/>
      <c r="E4" s="16"/>
      <c r="F4" s="28"/>
      <c r="G4" s="4">
        <v>10</v>
      </c>
      <c r="H4" s="28"/>
      <c r="I4" s="28" t="s">
        <v>12</v>
      </c>
      <c r="J4" s="30"/>
      <c r="K4" s="30"/>
      <c r="L4" s="16"/>
      <c r="M4" s="16"/>
      <c r="N4" s="16"/>
      <c r="O4" s="16"/>
      <c r="P4" s="16"/>
      <c r="Q4" s="16"/>
      <c r="R4" s="16"/>
      <c r="S4" s="16"/>
      <c r="T4" s="17"/>
      <c r="Z4" s="17"/>
      <c r="AD4" s="18"/>
      <c r="AK4" s="18"/>
    </row>
    <row r="5" spans="1:43" s="4" customFormat="1" ht="13" customHeight="1">
      <c r="A5" s="19" t="s">
        <v>13</v>
      </c>
      <c r="B5" s="16"/>
      <c r="C5" s="28" t="s">
        <v>14</v>
      </c>
      <c r="D5" s="28"/>
      <c r="E5" s="16"/>
      <c r="F5" s="28"/>
      <c r="G5" s="31" t="s">
        <v>15</v>
      </c>
      <c r="H5" s="28"/>
      <c r="I5" s="28" t="s">
        <v>16</v>
      </c>
      <c r="J5" s="30"/>
      <c r="K5" s="30"/>
      <c r="L5" s="16"/>
      <c r="M5" s="16"/>
      <c r="N5" s="16"/>
      <c r="O5" s="16"/>
      <c r="P5" s="16"/>
      <c r="Q5" s="16"/>
      <c r="R5" s="16"/>
      <c r="S5" s="16"/>
      <c r="T5" s="17"/>
      <c r="Z5" s="20"/>
    </row>
    <row r="6" spans="1:43" s="4" customFormat="1" ht="13" customHeight="1">
      <c r="A6" s="15" t="s">
        <v>17</v>
      </c>
      <c r="B6" s="16"/>
      <c r="C6" s="28" t="s">
        <v>18</v>
      </c>
      <c r="D6" s="28"/>
      <c r="E6" s="16"/>
      <c r="F6" s="28"/>
      <c r="G6" s="31" t="s">
        <v>19</v>
      </c>
      <c r="H6" s="28"/>
      <c r="I6" s="28" t="s">
        <v>20</v>
      </c>
      <c r="J6" s="30"/>
      <c r="K6" s="30"/>
      <c r="L6" s="16"/>
      <c r="M6" s="16"/>
      <c r="N6" s="16"/>
      <c r="O6" s="16"/>
      <c r="P6" s="16"/>
      <c r="Q6" s="16"/>
      <c r="R6" s="16"/>
      <c r="S6" s="16"/>
      <c r="T6" s="17"/>
      <c r="Z6" s="20"/>
    </row>
    <row r="7" spans="1:43" s="4" customFormat="1" ht="13" customHeight="1">
      <c r="A7" s="4">
        <v>0.15</v>
      </c>
      <c r="B7" s="16"/>
      <c r="C7" s="28" t="s">
        <v>21</v>
      </c>
      <c r="D7" s="28"/>
      <c r="E7" s="16"/>
      <c r="F7" s="28"/>
      <c r="G7" s="31" t="s">
        <v>22</v>
      </c>
      <c r="H7" s="28"/>
      <c r="I7" s="28" t="s">
        <v>23</v>
      </c>
      <c r="J7" s="30"/>
      <c r="K7" s="30"/>
      <c r="L7" s="16"/>
      <c r="M7" s="16"/>
      <c r="N7" s="16"/>
      <c r="O7" s="16"/>
      <c r="P7" s="16"/>
      <c r="Q7" s="16"/>
      <c r="R7" s="16"/>
      <c r="S7" s="16"/>
      <c r="T7" s="17"/>
      <c r="U7" s="17"/>
      <c r="X7" s="17"/>
      <c r="Z7" s="20"/>
      <c r="AD7" s="4" t="s">
        <v>24</v>
      </c>
      <c r="AE7" s="4" t="s">
        <v>24</v>
      </c>
      <c r="AF7" s="4" t="s">
        <v>24</v>
      </c>
      <c r="AG7" s="4" t="s">
        <v>24</v>
      </c>
      <c r="AH7" s="4" t="s">
        <v>24</v>
      </c>
      <c r="AI7" s="4" t="s">
        <v>24</v>
      </c>
      <c r="AJ7" s="4" t="s">
        <v>25</v>
      </c>
      <c r="AL7" s="4" t="s">
        <v>26</v>
      </c>
      <c r="AM7" s="4" t="s">
        <v>26</v>
      </c>
      <c r="AN7" s="4" t="s">
        <v>26</v>
      </c>
      <c r="AO7" s="4" t="s">
        <v>26</v>
      </c>
      <c r="AP7" s="4" t="s">
        <v>26</v>
      </c>
      <c r="AQ7" s="4" t="s">
        <v>26</v>
      </c>
    </row>
    <row r="8" spans="1:43" s="11" customFormat="1" ht="42" customHeight="1">
      <c r="A8" s="7" t="str">
        <f>IF(A2="Include","date","blank")</f>
        <v>date</v>
      </c>
      <c r="B8" s="7" t="str">
        <f>IF(A2="Include","time","blank")</f>
        <v>time</v>
      </c>
      <c r="C8" s="32" t="s">
        <v>27</v>
      </c>
      <c r="D8" s="33" t="str">
        <f>G6</f>
        <v>Relative humidity</v>
      </c>
      <c r="E8" s="21" t="s">
        <v>28</v>
      </c>
      <c r="F8" s="33" t="str">
        <f>IF(A2="Include","Kd","blank")</f>
        <v>Kd</v>
      </c>
      <c r="G8" s="33" t="str">
        <f>IF(AND(A2="Include",A6="Input directly"),"Ku","blank")</f>
        <v>Ku</v>
      </c>
      <c r="H8" s="33" t="str">
        <f t="array" ref="H8">_xlfn.IFS(G7="Ld and Lu","Ld",G7="Mean radiant temp","tr")</f>
        <v>Ld</v>
      </c>
      <c r="I8" s="33" t="str">
        <f>IF(G7="Ld and Lu","Lu","blank")</f>
        <v>Lu</v>
      </c>
      <c r="J8" s="34" t="str">
        <f>IF(A2="Include","Net solar absorptance of cloth: αcln","blank")</f>
        <v>Net solar absorptance of cloth: αcln</v>
      </c>
      <c r="K8" s="34" t="str">
        <f>IF(A2="Include","Net solar absorptance of skin: αskn","blank")</f>
        <v>Net solar absorptance of skin: αskn</v>
      </c>
      <c r="L8" s="6" t="s">
        <v>29</v>
      </c>
      <c r="M8" s="6" t="s">
        <v>30</v>
      </c>
      <c r="N8" s="6" t="s">
        <v>31</v>
      </c>
      <c r="O8" s="7" t="str">
        <f>IF(A2="Include","sky factor","blank")</f>
        <v>sky factor</v>
      </c>
      <c r="P8" s="7" t="str">
        <f>IF(A2="Include","Is the place shaded? (y/n) ","blank")</f>
        <v xml:space="preserve">Is the place shaded? (y/n) </v>
      </c>
      <c r="Q8" s="7" t="str">
        <f>IF(L3="Input directly","tsk","blank")</f>
        <v>blank</v>
      </c>
      <c r="R8" s="7" t="str">
        <f>IF(L3="Input directly","wettedness","blank")</f>
        <v>blank</v>
      </c>
      <c r="S8" s="7" t="str">
        <f>IF(L2=0,"blank","Heat loss at contact surface")</f>
        <v>blank</v>
      </c>
      <c r="T8" s="8" t="s">
        <v>32</v>
      </c>
      <c r="U8" s="9"/>
      <c r="V8" s="10" t="s">
        <v>33</v>
      </c>
      <c r="W8" s="11" t="s">
        <v>34</v>
      </c>
      <c r="X8" s="11" t="s">
        <v>35</v>
      </c>
      <c r="Y8" s="11" t="s">
        <v>36</v>
      </c>
      <c r="Z8" s="11" t="s">
        <v>37</v>
      </c>
      <c r="AA8" s="11" t="s">
        <v>38</v>
      </c>
      <c r="AB8" s="11" t="s">
        <v>39</v>
      </c>
      <c r="AC8" s="14" t="s">
        <v>40</v>
      </c>
      <c r="AD8" s="11" t="s">
        <v>41</v>
      </c>
      <c r="AE8" s="11" t="s">
        <v>42</v>
      </c>
      <c r="AF8" s="11" t="s">
        <v>43</v>
      </c>
      <c r="AG8" s="11" t="s">
        <v>44</v>
      </c>
      <c r="AH8" s="11" t="s">
        <v>45</v>
      </c>
      <c r="AI8" s="11" t="s">
        <v>46</v>
      </c>
      <c r="AJ8" s="14" t="s">
        <v>31</v>
      </c>
      <c r="AK8" s="11" t="s">
        <v>26</v>
      </c>
      <c r="AL8" s="11" t="s">
        <v>41</v>
      </c>
      <c r="AM8" s="11" t="s">
        <v>42</v>
      </c>
      <c r="AN8" s="11" t="s">
        <v>43</v>
      </c>
      <c r="AO8" s="11" t="s">
        <v>44</v>
      </c>
      <c r="AP8" s="11" t="s">
        <v>45</v>
      </c>
      <c r="AQ8" s="11" t="s">
        <v>46</v>
      </c>
    </row>
    <row r="9" spans="1:43" s="11" customFormat="1" ht="13" customHeight="1">
      <c r="A9" s="7" t="str">
        <f>IF(A2="Include","[ymd]","")</f>
        <v>[ymd]</v>
      </c>
      <c r="B9" s="7" t="str">
        <f>IF(A2="Include","[h:m:s]","")</f>
        <v>[h:m:s]</v>
      </c>
      <c r="C9" s="32" t="s">
        <v>47</v>
      </c>
      <c r="D9" s="33" t="str">
        <f t="array" ref="D9">_xlfn.IFS(G6="Relative humidity","[%]",G6="Wet-bulb temp","[°C]",G6="Humidity ratio","[g/kg(DA)]",G6="Vapor pressure","[hPa]")</f>
        <v>[%]</v>
      </c>
      <c r="E9" s="21" t="s">
        <v>48</v>
      </c>
      <c r="F9" s="33" t="str">
        <f>IF(A2="Include","[W/m2]","")</f>
        <v>[W/m2]</v>
      </c>
      <c r="G9" s="33" t="str">
        <f>IF(AND(A2="Include",A6="Input directly"),"[W/m2]","")</f>
        <v>[W/m2]</v>
      </c>
      <c r="H9" s="33" t="str">
        <f t="array" ref="H9">_xlfn.IFS(G7="Ld and Lu","[W/m2]",G7="Mean radiant temp","[°C]")</f>
        <v>[W/m2]</v>
      </c>
      <c r="I9" s="33" t="str">
        <f>IF(G7="Ld and Lu","[W/m2]","")</f>
        <v>[W/m2]</v>
      </c>
      <c r="J9" s="34" t="str">
        <f>IF(A2="Include","[-]","")</f>
        <v>[-]</v>
      </c>
      <c r="K9" s="34" t="str">
        <f>IF(A2="Include","[-]","")</f>
        <v>[-]</v>
      </c>
      <c r="L9" s="6" t="s">
        <v>49</v>
      </c>
      <c r="M9" s="6" t="s">
        <v>50</v>
      </c>
      <c r="N9" s="6" t="s">
        <v>47</v>
      </c>
      <c r="O9" s="7" t="str">
        <f>IF(A2="Include","[-]","")</f>
        <v>[-]</v>
      </c>
      <c r="P9" s="7" t="str">
        <f>IF(A2="Include","[-]","")</f>
        <v>[-]</v>
      </c>
      <c r="Q9" s="7" t="str">
        <f>IF(L3="Input directly","[°C]","")</f>
        <v/>
      </c>
      <c r="R9" s="7" t="str">
        <f>IF(L3="Input directly","[-]","")</f>
        <v/>
      </c>
      <c r="S9" s="7" t="str">
        <f>IF(L2=0,"","[W/m2]")</f>
        <v/>
      </c>
      <c r="T9" s="12" t="s">
        <v>51</v>
      </c>
      <c r="V9" s="13" t="s">
        <v>52</v>
      </c>
      <c r="W9" s="13"/>
      <c r="X9" s="11" t="s">
        <v>47</v>
      </c>
      <c r="Y9" s="11" t="s">
        <v>47</v>
      </c>
      <c r="Z9" s="11" t="s">
        <v>47</v>
      </c>
      <c r="AA9" s="11" t="s">
        <v>53</v>
      </c>
      <c r="AB9" s="11" t="s">
        <v>54</v>
      </c>
      <c r="AC9" s="11" t="s">
        <v>47</v>
      </c>
      <c r="AD9" s="11" t="s">
        <v>47</v>
      </c>
      <c r="AE9" s="11" t="s">
        <v>47</v>
      </c>
      <c r="AF9" s="11" t="s">
        <v>47</v>
      </c>
      <c r="AG9" s="11" t="s">
        <v>47</v>
      </c>
      <c r="AH9" s="11" t="s">
        <v>47</v>
      </c>
      <c r="AI9" s="11" t="s">
        <v>47</v>
      </c>
      <c r="AJ9" s="11" t="s">
        <v>47</v>
      </c>
      <c r="AK9" s="11" t="s">
        <v>47</v>
      </c>
      <c r="AL9" s="11" t="s">
        <v>47</v>
      </c>
      <c r="AM9" s="11" t="s">
        <v>47</v>
      </c>
      <c r="AN9" s="11" t="s">
        <v>47</v>
      </c>
      <c r="AO9" s="11" t="s">
        <v>47</v>
      </c>
      <c r="AP9" s="11" t="s">
        <v>47</v>
      </c>
      <c r="AQ9" s="11" t="s">
        <v>47</v>
      </c>
    </row>
    <row r="10" spans="1:43" ht="13" customHeight="1">
      <c r="A10" s="22">
        <v>41196</v>
      </c>
      <c r="B10" s="23">
        <v>0</v>
      </c>
      <c r="C10" s="24">
        <v>9.8000000000000007</v>
      </c>
      <c r="D10" s="24">
        <v>68.7</v>
      </c>
      <c r="E10" s="1">
        <v>0.3</v>
      </c>
      <c r="F10" s="24">
        <v>0</v>
      </c>
      <c r="G10" s="24">
        <v>0</v>
      </c>
      <c r="H10" s="24">
        <v>269.82775180529472</v>
      </c>
      <c r="I10" s="24">
        <v>354.113466091009</v>
      </c>
      <c r="J10" s="25">
        <v>0.60899999999999999</v>
      </c>
      <c r="K10" s="25">
        <v>4.3999999999999997E-2</v>
      </c>
      <c r="L10" s="1">
        <v>0.6</v>
      </c>
      <c r="M10" s="1">
        <v>2</v>
      </c>
      <c r="O10" s="25">
        <v>0.97</v>
      </c>
      <c r="X10" s="1">
        <v>11.633670322675981</v>
      </c>
      <c r="Y10" s="1">
        <v>7.6624062832726079</v>
      </c>
      <c r="Z10" s="1">
        <v>8.5862359198496474</v>
      </c>
      <c r="AA10" s="1">
        <v>-2.8515808534100748</v>
      </c>
      <c r="AB10" s="1">
        <v>98.240612189807123</v>
      </c>
      <c r="AC10" s="1">
        <v>11.491074698664059</v>
      </c>
      <c r="AD10" s="1">
        <v>9.8000000000000007</v>
      </c>
      <c r="AE10" s="1">
        <v>2.876085578549922</v>
      </c>
      <c r="AF10" s="1">
        <v>-1.6582452764450819</v>
      </c>
      <c r="AG10" s="1">
        <v>0</v>
      </c>
      <c r="AH10" s="1">
        <v>0.47591655506468222</v>
      </c>
      <c r="AI10" s="1">
        <v>0</v>
      </c>
      <c r="AJ10" s="1">
        <v>0</v>
      </c>
      <c r="AK10" s="1">
        <v>12.939080237574981</v>
      </c>
      <c r="AL10" s="1">
        <v>9.8000000000000007</v>
      </c>
      <c r="AM10" s="1">
        <v>5.2944923541620142E-2</v>
      </c>
      <c r="AN10" s="1">
        <v>3.517239928782419</v>
      </c>
      <c r="AO10" s="1">
        <v>0</v>
      </c>
      <c r="AP10" s="1">
        <v>-0.42879784021132389</v>
      </c>
      <c r="AQ10" s="1">
        <v>0</v>
      </c>
    </row>
    <row r="11" spans="1:43" ht="13" customHeight="1">
      <c r="A11" s="22">
        <v>41196</v>
      </c>
      <c r="B11" s="23">
        <v>6.9444444444444441E-3</v>
      </c>
      <c r="C11" s="24">
        <v>9.6999999999999993</v>
      </c>
      <c r="D11" s="24">
        <v>69.400000000000006</v>
      </c>
      <c r="E11" s="1">
        <v>0.4</v>
      </c>
      <c r="F11" s="24">
        <v>0</v>
      </c>
      <c r="G11" s="24">
        <v>0</v>
      </c>
      <c r="H11" s="24">
        <v>273.11291462152758</v>
      </c>
      <c r="I11" s="24">
        <v>355.97005747867041</v>
      </c>
      <c r="J11" s="25">
        <v>0.60899999999999999</v>
      </c>
      <c r="K11" s="25">
        <v>4.3999999999999997E-2</v>
      </c>
      <c r="L11" s="1">
        <v>0.6</v>
      </c>
      <c r="M11" s="1">
        <v>2</v>
      </c>
      <c r="O11" s="25">
        <v>0.97</v>
      </c>
      <c r="X11" s="1">
        <v>11.172572878885109</v>
      </c>
      <c r="Y11" s="1">
        <v>7.6108883776968099</v>
      </c>
      <c r="Z11" s="1">
        <v>8.613242547966431</v>
      </c>
      <c r="AA11" s="1">
        <v>-2.837807263713291</v>
      </c>
      <c r="AB11" s="1">
        <v>98.132563144873984</v>
      </c>
      <c r="AC11" s="1">
        <v>11.195717882809619</v>
      </c>
      <c r="AD11" s="1">
        <v>9.6999999999999993</v>
      </c>
      <c r="AE11" s="1">
        <v>2.2883649072112409</v>
      </c>
      <c r="AF11" s="1">
        <v>-1.218284462760131</v>
      </c>
      <c r="AG11" s="1">
        <v>0</v>
      </c>
      <c r="AH11" s="1">
        <v>0.42846703614043241</v>
      </c>
      <c r="AI11" s="1">
        <v>0</v>
      </c>
      <c r="AJ11" s="1">
        <v>0</v>
      </c>
      <c r="AK11" s="1">
        <v>12.66167153488623</v>
      </c>
      <c r="AL11" s="1">
        <v>9.6999999999999993</v>
      </c>
      <c r="AM11" s="1">
        <v>-0.43844276692714379</v>
      </c>
      <c r="AN11" s="1">
        <v>3.864424846706132</v>
      </c>
      <c r="AO11" s="1">
        <v>0</v>
      </c>
      <c r="AP11" s="1">
        <v>-0.4618759884071707</v>
      </c>
      <c r="AQ11" s="1">
        <v>0</v>
      </c>
    </row>
    <row r="12" spans="1:43" ht="13" customHeight="1">
      <c r="A12" s="22">
        <v>41196</v>
      </c>
      <c r="B12" s="23">
        <v>1.388888888888889E-2</v>
      </c>
      <c r="C12" s="24">
        <v>9.5</v>
      </c>
      <c r="D12" s="24">
        <v>72.099999999999994</v>
      </c>
      <c r="E12" s="1">
        <v>0.2</v>
      </c>
      <c r="F12" s="24">
        <v>0</v>
      </c>
      <c r="G12" s="24">
        <v>0</v>
      </c>
      <c r="H12" s="24">
        <v>273.11291462152758</v>
      </c>
      <c r="I12" s="24">
        <v>353.11291462152752</v>
      </c>
      <c r="J12" s="25">
        <v>0.60899999999999999</v>
      </c>
      <c r="K12" s="25">
        <v>4.3999999999999997E-2</v>
      </c>
      <c r="L12" s="1">
        <v>0.6</v>
      </c>
      <c r="M12" s="1">
        <v>2</v>
      </c>
      <c r="O12" s="25">
        <v>0.97</v>
      </c>
      <c r="X12" s="1">
        <v>11.81031092726754</v>
      </c>
      <c r="Y12" s="1">
        <v>7.6071653888484043</v>
      </c>
      <c r="Z12" s="1">
        <v>8.7246606974667849</v>
      </c>
      <c r="AA12" s="1">
        <v>-2.880225628618363</v>
      </c>
      <c r="AB12" s="1">
        <v>98.449224439871898</v>
      </c>
      <c r="AC12" s="1">
        <v>11.952632074615799</v>
      </c>
      <c r="AD12" s="1">
        <v>9.5</v>
      </c>
      <c r="AE12" s="1">
        <v>3.6091990121079252</v>
      </c>
      <c r="AF12" s="1">
        <v>-1.694956246775265</v>
      </c>
      <c r="AG12" s="1">
        <v>0</v>
      </c>
      <c r="AH12" s="1">
        <v>0.5408731900994046</v>
      </c>
      <c r="AI12" s="1">
        <v>0</v>
      </c>
      <c r="AJ12" s="1">
        <v>0</v>
      </c>
      <c r="AK12" s="1">
        <v>13.352363379160099</v>
      </c>
      <c r="AL12" s="1">
        <v>9.5</v>
      </c>
      <c r="AM12" s="1">
        <v>0.61454532707820975</v>
      </c>
      <c r="AN12" s="1">
        <v>3.6231316225536778</v>
      </c>
      <c r="AO12" s="1">
        <v>0</v>
      </c>
      <c r="AP12" s="1">
        <v>-0.3831757799529959</v>
      </c>
      <c r="AQ12" s="1">
        <v>0</v>
      </c>
    </row>
    <row r="13" spans="1:43" ht="13" customHeight="1">
      <c r="A13" s="22">
        <v>41196</v>
      </c>
      <c r="B13" s="23">
        <v>2.0833333333333329E-2</v>
      </c>
      <c r="C13" s="24">
        <v>9.4</v>
      </c>
      <c r="D13" s="24">
        <v>72.099999999999994</v>
      </c>
      <c r="E13" s="1">
        <v>0.2</v>
      </c>
      <c r="F13" s="24">
        <v>0</v>
      </c>
      <c r="G13" s="24">
        <v>0</v>
      </c>
      <c r="H13" s="24">
        <v>274.97164508144027</v>
      </c>
      <c r="I13" s="24">
        <v>353.54307365286888</v>
      </c>
      <c r="J13" s="25">
        <v>0.60899999999999999</v>
      </c>
      <c r="K13" s="25">
        <v>4.3999999999999997E-2</v>
      </c>
      <c r="L13" s="1">
        <v>0.6</v>
      </c>
      <c r="M13" s="1">
        <v>2</v>
      </c>
      <c r="O13" s="25">
        <v>0.97</v>
      </c>
      <c r="X13" s="1">
        <v>11.71054113517418</v>
      </c>
      <c r="Y13" s="1">
        <v>7.5126121888484043</v>
      </c>
      <c r="Z13" s="1">
        <v>8.763121996421015</v>
      </c>
      <c r="AA13" s="1">
        <v>-2.8835829527191552</v>
      </c>
      <c r="AB13" s="1">
        <v>98.472303719463483</v>
      </c>
      <c r="AC13" s="1">
        <v>11.997460990919841</v>
      </c>
      <c r="AD13" s="1">
        <v>9.4</v>
      </c>
      <c r="AE13" s="1">
        <v>3.6311421154645589</v>
      </c>
      <c r="AF13" s="1">
        <v>-1.5692634644698531</v>
      </c>
      <c r="AG13" s="1">
        <v>0</v>
      </c>
      <c r="AH13" s="1">
        <v>0.53805459417657198</v>
      </c>
      <c r="AI13" s="1">
        <v>0</v>
      </c>
      <c r="AJ13" s="1">
        <v>0</v>
      </c>
      <c r="AK13" s="1">
        <v>13.388304334304941</v>
      </c>
      <c r="AL13" s="1">
        <v>9.4</v>
      </c>
      <c r="AM13" s="1">
        <v>0.62064063853045492</v>
      </c>
      <c r="AN13" s="1">
        <v>3.75586067793019</v>
      </c>
      <c r="AO13" s="1">
        <v>0</v>
      </c>
      <c r="AP13" s="1">
        <v>-0.38606846515290849</v>
      </c>
      <c r="AQ13" s="1">
        <v>0</v>
      </c>
    </row>
    <row r="14" spans="1:43" ht="13" customHeight="1">
      <c r="A14" s="22">
        <v>41196</v>
      </c>
      <c r="B14" s="23">
        <v>2.777777777777778E-2</v>
      </c>
      <c r="C14" s="24">
        <v>9.4</v>
      </c>
      <c r="D14" s="24">
        <v>72.599999999999994</v>
      </c>
      <c r="E14" s="1">
        <v>0.2</v>
      </c>
      <c r="F14" s="24">
        <v>1.428571428571429</v>
      </c>
      <c r="G14" s="24">
        <v>0</v>
      </c>
      <c r="H14" s="24">
        <v>269.25735936715461</v>
      </c>
      <c r="I14" s="24">
        <v>349.25735936715461</v>
      </c>
      <c r="J14" s="25">
        <v>0.60899999999999999</v>
      </c>
      <c r="K14" s="25">
        <v>4.3999999999999997E-2</v>
      </c>
      <c r="L14" s="1">
        <v>0.6</v>
      </c>
      <c r="M14" s="1">
        <v>2</v>
      </c>
      <c r="O14" s="25">
        <v>0.97</v>
      </c>
      <c r="X14" s="1">
        <v>11.71054113517418</v>
      </c>
      <c r="Y14" s="1">
        <v>7.545036188848405</v>
      </c>
      <c r="Z14" s="1">
        <v>8.357359533363466</v>
      </c>
      <c r="AA14" s="1">
        <v>-2.9377800200246709</v>
      </c>
      <c r="AB14" s="1">
        <v>98.80785986202784</v>
      </c>
      <c r="AC14" s="1">
        <v>11.58183279543309</v>
      </c>
      <c r="AD14" s="1">
        <v>9.4</v>
      </c>
      <c r="AE14" s="1">
        <v>3.5968702512033262</v>
      </c>
      <c r="AF14" s="1">
        <v>-1.956454336439281</v>
      </c>
      <c r="AG14" s="1">
        <v>0</v>
      </c>
      <c r="AH14" s="1">
        <v>0.54401760366765783</v>
      </c>
      <c r="AI14" s="1">
        <v>0</v>
      </c>
      <c r="AJ14" s="1">
        <v>0</v>
      </c>
      <c r="AK14" s="1">
        <v>13.033157528382739</v>
      </c>
      <c r="AL14" s="1">
        <v>9.4</v>
      </c>
      <c r="AM14" s="1">
        <v>0.60307918311025743</v>
      </c>
      <c r="AN14" s="1">
        <v>3.40637578150446</v>
      </c>
      <c r="AO14" s="1">
        <v>0</v>
      </c>
      <c r="AP14" s="1">
        <v>-0.37406217898950972</v>
      </c>
      <c r="AQ14" s="1">
        <v>0</v>
      </c>
    </row>
    <row r="15" spans="1:43" ht="13" customHeight="1">
      <c r="A15" s="22">
        <v>41196</v>
      </c>
      <c r="B15" s="23">
        <v>3.4722222222222217E-2</v>
      </c>
      <c r="C15" s="24">
        <v>9.3000000000000007</v>
      </c>
      <c r="D15" s="24">
        <v>73.599999999999994</v>
      </c>
      <c r="E15" s="1">
        <v>0.2</v>
      </c>
      <c r="F15" s="24">
        <v>0</v>
      </c>
      <c r="G15" s="24">
        <v>0</v>
      </c>
      <c r="H15" s="24">
        <v>271.68434319295608</v>
      </c>
      <c r="I15" s="24">
        <v>351.68434319295608</v>
      </c>
      <c r="J15" s="25">
        <v>0.60899999999999999</v>
      </c>
      <c r="K15" s="25">
        <v>4.3999999999999997E-2</v>
      </c>
      <c r="L15" s="1">
        <v>0.6</v>
      </c>
      <c r="M15" s="1">
        <v>2</v>
      </c>
      <c r="O15" s="25">
        <v>0.97</v>
      </c>
      <c r="X15" s="1">
        <v>11.61077134308082</v>
      </c>
      <c r="Y15" s="1">
        <v>7.5148929888484064</v>
      </c>
      <c r="Z15" s="1">
        <v>8.5276686690853367</v>
      </c>
      <c r="AA15" s="1">
        <v>-2.9250696757514292</v>
      </c>
      <c r="AB15" s="1">
        <v>98.735179181287378</v>
      </c>
      <c r="AC15" s="1">
        <v>11.739651931711711</v>
      </c>
      <c r="AD15" s="1">
        <v>9.3000000000000007</v>
      </c>
      <c r="AE15" s="1">
        <v>3.6284946444127648</v>
      </c>
      <c r="AF15" s="1">
        <v>-1.7310992833858481</v>
      </c>
      <c r="AG15" s="1">
        <v>0</v>
      </c>
      <c r="AH15" s="1">
        <v>0.54480960997034777</v>
      </c>
      <c r="AI15" s="1">
        <v>0</v>
      </c>
      <c r="AJ15" s="1">
        <v>0</v>
      </c>
      <c r="AK15" s="1">
        <v>13.16592172042151</v>
      </c>
      <c r="AL15" s="1">
        <v>9.3000000000000007</v>
      </c>
      <c r="AM15" s="1">
        <v>0.61379647705545337</v>
      </c>
      <c r="AN15" s="1">
        <v>3.6301279259249992</v>
      </c>
      <c r="AO15" s="1">
        <v>0</v>
      </c>
      <c r="AP15" s="1">
        <v>-0.37580666625331371</v>
      </c>
      <c r="AQ15" s="1">
        <v>0</v>
      </c>
    </row>
    <row r="16" spans="1:43" ht="13" customHeight="1">
      <c r="A16" s="22">
        <v>41196</v>
      </c>
      <c r="B16" s="23">
        <v>4.1666666666666657E-2</v>
      </c>
      <c r="C16" s="24">
        <v>9.8000000000000007</v>
      </c>
      <c r="D16" s="24">
        <v>72.8</v>
      </c>
      <c r="E16" s="1">
        <v>0.4</v>
      </c>
      <c r="F16" s="24">
        <v>0</v>
      </c>
      <c r="G16" s="24">
        <v>0</v>
      </c>
      <c r="H16" s="24">
        <v>270.75577992432699</v>
      </c>
      <c r="I16" s="24">
        <v>352.18435135289849</v>
      </c>
      <c r="J16" s="25">
        <v>0.60899999999999999</v>
      </c>
      <c r="K16" s="25">
        <v>4.3999999999999997E-2</v>
      </c>
      <c r="L16" s="1">
        <v>0.6</v>
      </c>
      <c r="M16" s="1">
        <v>2</v>
      </c>
      <c r="O16" s="25">
        <v>0.97</v>
      </c>
      <c r="X16" s="1">
        <v>11.276754988727969</v>
      </c>
      <c r="Y16" s="1">
        <v>7.9291075776968096</v>
      </c>
      <c r="Z16" s="1">
        <v>8.5024595744581646</v>
      </c>
      <c r="AA16" s="1">
        <v>-2.8489709196841568</v>
      </c>
      <c r="AB16" s="1">
        <v>98.220533824569301</v>
      </c>
      <c r="AC16" s="1">
        <v>11.03554187028336</v>
      </c>
      <c r="AD16" s="1">
        <v>9.8000000000000007</v>
      </c>
      <c r="AE16" s="1">
        <v>2.2684060186072839</v>
      </c>
      <c r="AF16" s="1">
        <v>-1.4806582007947009</v>
      </c>
      <c r="AG16" s="1">
        <v>0</v>
      </c>
      <c r="AH16" s="1">
        <v>0.45066653578541521</v>
      </c>
      <c r="AI16" s="1">
        <v>0</v>
      </c>
      <c r="AJ16" s="1">
        <v>0</v>
      </c>
      <c r="AK16" s="1">
        <v>12.53012923413193</v>
      </c>
      <c r="AL16" s="1">
        <v>9.8000000000000007</v>
      </c>
      <c r="AM16" s="1">
        <v>-0.44054991606346028</v>
      </c>
      <c r="AN16" s="1">
        <v>3.614060359886563</v>
      </c>
      <c r="AO16" s="1">
        <v>0</v>
      </c>
      <c r="AP16" s="1">
        <v>-0.44091216104899239</v>
      </c>
      <c r="AQ16" s="1">
        <v>0</v>
      </c>
    </row>
    <row r="17" spans="1:43" ht="13" customHeight="1">
      <c r="A17" s="22">
        <v>41196</v>
      </c>
      <c r="B17" s="23">
        <v>4.8611111111111112E-2</v>
      </c>
      <c r="C17" s="24">
        <v>9.8000000000000007</v>
      </c>
      <c r="D17" s="24">
        <v>71.7</v>
      </c>
      <c r="E17" s="1">
        <v>0.2</v>
      </c>
      <c r="F17" s="24">
        <v>0</v>
      </c>
      <c r="G17" s="24">
        <v>0</v>
      </c>
      <c r="H17" s="24">
        <v>269.75629837247152</v>
      </c>
      <c r="I17" s="24">
        <v>349.75629837247152</v>
      </c>
      <c r="J17" s="25">
        <v>0.60899999999999999</v>
      </c>
      <c r="K17" s="25">
        <v>4.3999999999999997E-2</v>
      </c>
      <c r="L17" s="1">
        <v>0.6</v>
      </c>
      <c r="M17" s="1">
        <v>2</v>
      </c>
      <c r="O17" s="25">
        <v>0.97</v>
      </c>
      <c r="X17" s="1">
        <v>12.10962030354762</v>
      </c>
      <c r="Y17" s="1">
        <v>7.8644185888484053</v>
      </c>
      <c r="Z17" s="1">
        <v>8.6051419336259904</v>
      </c>
      <c r="AA17" s="1">
        <v>-2.8700520028616729</v>
      </c>
      <c r="AB17" s="1">
        <v>98.377557734744471</v>
      </c>
      <c r="AC17" s="1">
        <v>11.822212373365939</v>
      </c>
      <c r="AD17" s="1">
        <v>9.8000000000000007</v>
      </c>
      <c r="AE17" s="1">
        <v>3.5435065038980338</v>
      </c>
      <c r="AF17" s="1">
        <v>-2.06625118122441</v>
      </c>
      <c r="AG17" s="1">
        <v>0</v>
      </c>
      <c r="AH17" s="1">
        <v>0.54747494315432876</v>
      </c>
      <c r="AI17" s="1">
        <v>0</v>
      </c>
      <c r="AJ17" s="1">
        <v>0</v>
      </c>
      <c r="AK17" s="1">
        <v>13.248001785672351</v>
      </c>
      <c r="AL17" s="1">
        <v>9.8000000000000007</v>
      </c>
      <c r="AM17" s="1">
        <v>0.59660815423324476</v>
      </c>
      <c r="AN17" s="1">
        <v>3.229695750042358</v>
      </c>
      <c r="AO17" s="1">
        <v>0</v>
      </c>
      <c r="AP17" s="1">
        <v>-0.37613724735429988</v>
      </c>
      <c r="AQ17" s="1">
        <v>0</v>
      </c>
    </row>
    <row r="18" spans="1:43" ht="13" customHeight="1">
      <c r="A18" s="22">
        <v>41196</v>
      </c>
      <c r="B18" s="23">
        <v>5.5555555555555552E-2</v>
      </c>
      <c r="C18" s="24">
        <v>9.4</v>
      </c>
      <c r="D18" s="24">
        <v>74.099999999999994</v>
      </c>
      <c r="E18" s="1">
        <v>0.3</v>
      </c>
      <c r="F18" s="24">
        <v>0</v>
      </c>
      <c r="G18" s="24">
        <v>0</v>
      </c>
      <c r="H18" s="24">
        <v>267.76374485850249</v>
      </c>
      <c r="I18" s="24">
        <v>347.76374485850249</v>
      </c>
      <c r="J18" s="25">
        <v>0.60899999999999999</v>
      </c>
      <c r="K18" s="25">
        <v>4.3999999999999997E-2</v>
      </c>
      <c r="L18" s="1">
        <v>0.6</v>
      </c>
      <c r="M18" s="1">
        <v>2</v>
      </c>
      <c r="O18" s="25">
        <v>0.97</v>
      </c>
      <c r="X18" s="1">
        <v>11.22450528562193</v>
      </c>
      <c r="Y18" s="1">
        <v>7.638343883272606</v>
      </c>
      <c r="Z18" s="1">
        <v>8.1337448921779032</v>
      </c>
      <c r="AA18" s="1">
        <v>-2.9513658096915192</v>
      </c>
      <c r="AB18" s="1">
        <v>98.881715988449912</v>
      </c>
      <c r="AC18" s="1">
        <v>10.96879244838923</v>
      </c>
      <c r="AD18" s="1">
        <v>9.4</v>
      </c>
      <c r="AE18" s="1">
        <v>2.902384316799778</v>
      </c>
      <c r="AF18" s="1">
        <v>-1.828766589087012</v>
      </c>
      <c r="AG18" s="1">
        <v>0</v>
      </c>
      <c r="AH18" s="1">
        <v>0.4980205646467819</v>
      </c>
      <c r="AI18" s="1">
        <v>0</v>
      </c>
      <c r="AJ18" s="1">
        <v>0</v>
      </c>
      <c r="AK18" s="1">
        <v>12.48605787784321</v>
      </c>
      <c r="AL18" s="1">
        <v>9.4</v>
      </c>
      <c r="AM18" s="1">
        <v>4.2986472306547667E-2</v>
      </c>
      <c r="AN18" s="1">
        <v>3.4463822360630432</v>
      </c>
      <c r="AO18" s="1">
        <v>0</v>
      </c>
      <c r="AP18" s="1">
        <v>-0.40086729052577019</v>
      </c>
      <c r="AQ18" s="1">
        <v>0</v>
      </c>
    </row>
    <row r="19" spans="1:43" ht="13" customHeight="1">
      <c r="A19" s="22">
        <v>41196</v>
      </c>
      <c r="B19" s="23">
        <v>6.25E-2</v>
      </c>
      <c r="C19" s="24">
        <v>8.9</v>
      </c>
      <c r="D19" s="24">
        <v>75.3</v>
      </c>
      <c r="E19" s="1">
        <v>0.2</v>
      </c>
      <c r="F19" s="24">
        <v>0</v>
      </c>
      <c r="G19" s="24">
        <v>0</v>
      </c>
      <c r="H19" s="24">
        <v>271.05638108463103</v>
      </c>
      <c r="I19" s="24">
        <v>346.77066679891669</v>
      </c>
      <c r="J19" s="25">
        <v>0.60899999999999999</v>
      </c>
      <c r="K19" s="25">
        <v>4.3999999999999997E-2</v>
      </c>
      <c r="L19" s="1">
        <v>0.6</v>
      </c>
      <c r="M19" s="1">
        <v>2</v>
      </c>
      <c r="O19" s="25">
        <v>0.97</v>
      </c>
      <c r="X19" s="1">
        <v>11.21169217470738</v>
      </c>
      <c r="Y19" s="1">
        <v>7.2426877888484054</v>
      </c>
      <c r="Z19" s="1">
        <v>8.1061490717227844</v>
      </c>
      <c r="AA19" s="1">
        <v>-3.0164124737340501</v>
      </c>
      <c r="AB19" s="1">
        <v>99.18502063511194</v>
      </c>
      <c r="AC19" s="1">
        <v>11.313411616851059</v>
      </c>
      <c r="AD19" s="1">
        <v>8.9</v>
      </c>
      <c r="AE19" s="1">
        <v>3.6672200001408979</v>
      </c>
      <c r="AF19" s="1">
        <v>-1.7975754975786049</v>
      </c>
      <c r="AG19" s="1">
        <v>0</v>
      </c>
      <c r="AH19" s="1">
        <v>0.54645783008247262</v>
      </c>
      <c r="AI19" s="1">
        <v>0</v>
      </c>
      <c r="AJ19" s="1">
        <v>0</v>
      </c>
      <c r="AK19" s="1">
        <v>12.792792245804399</v>
      </c>
      <c r="AL19" s="1">
        <v>8.9</v>
      </c>
      <c r="AM19" s="1">
        <v>0.61238091772223224</v>
      </c>
      <c r="AN19" s="1">
        <v>3.6492078489847</v>
      </c>
      <c r="AO19" s="1">
        <v>0</v>
      </c>
      <c r="AP19" s="1">
        <v>-0.36648475438560679</v>
      </c>
      <c r="AQ19" s="1">
        <v>0</v>
      </c>
    </row>
    <row r="20" spans="1:43" ht="13" customHeight="1">
      <c r="A20" s="22">
        <v>41196</v>
      </c>
      <c r="B20" s="23">
        <v>6.9444444444444448E-2</v>
      </c>
      <c r="C20" s="24">
        <v>8.9</v>
      </c>
      <c r="D20" s="24">
        <v>77.099999999999994</v>
      </c>
      <c r="E20" s="1">
        <v>0.3</v>
      </c>
      <c r="F20" s="24">
        <v>2.8571428571428572</v>
      </c>
      <c r="G20" s="24">
        <v>0</v>
      </c>
      <c r="H20" s="24">
        <v>272.9812253022572</v>
      </c>
      <c r="I20" s="24">
        <v>351.55265387368581</v>
      </c>
      <c r="J20" s="25">
        <v>0.60899999999999999</v>
      </c>
      <c r="K20" s="25">
        <v>4.3999999999999997E-2</v>
      </c>
      <c r="L20" s="1">
        <v>0.6</v>
      </c>
      <c r="M20" s="1">
        <v>2</v>
      </c>
      <c r="O20" s="25">
        <v>0.97</v>
      </c>
      <c r="X20" s="1">
        <v>10.713048989304371</v>
      </c>
      <c r="Y20" s="1">
        <v>7.3528218832726058</v>
      </c>
      <c r="Z20" s="1">
        <v>8.2895277347612168</v>
      </c>
      <c r="AA20" s="1">
        <v>-2.9760349601444021</v>
      </c>
      <c r="AB20" s="1">
        <v>99.006178388217336</v>
      </c>
      <c r="AC20" s="1">
        <v>11.077066568538971</v>
      </c>
      <c r="AD20" s="1">
        <v>8.9</v>
      </c>
      <c r="AE20" s="1">
        <v>2.9853861396650769</v>
      </c>
      <c r="AF20" s="1">
        <v>-1.3037025083180009</v>
      </c>
      <c r="AG20" s="1">
        <v>0</v>
      </c>
      <c r="AH20" s="1">
        <v>0.49820389244705182</v>
      </c>
      <c r="AI20" s="1">
        <v>0</v>
      </c>
      <c r="AJ20" s="1">
        <v>0</v>
      </c>
      <c r="AK20" s="1">
        <v>12.56559419900973</v>
      </c>
      <c r="AL20" s="1">
        <v>8.9</v>
      </c>
      <c r="AM20" s="1">
        <v>5.2643313712055287E-2</v>
      </c>
      <c r="AN20" s="1">
        <v>4.0166336780467473</v>
      </c>
      <c r="AO20" s="1">
        <v>0</v>
      </c>
      <c r="AP20" s="1">
        <v>-0.40125750259368381</v>
      </c>
      <c r="AQ20" s="1">
        <v>0</v>
      </c>
    </row>
    <row r="21" spans="1:43" ht="13" customHeight="1">
      <c r="A21" s="22">
        <v>41196</v>
      </c>
      <c r="B21" s="23">
        <v>7.6388888888888895E-2</v>
      </c>
      <c r="C21" s="24">
        <v>9</v>
      </c>
      <c r="D21" s="24">
        <v>76.3</v>
      </c>
      <c r="E21" s="1">
        <v>0.3</v>
      </c>
      <c r="F21" s="24">
        <v>0</v>
      </c>
      <c r="G21" s="24">
        <v>0</v>
      </c>
      <c r="H21" s="24">
        <v>271.05638108463103</v>
      </c>
      <c r="I21" s="24">
        <v>349.62780965605953</v>
      </c>
      <c r="J21" s="25">
        <v>0.60899999999999999</v>
      </c>
      <c r="K21" s="25">
        <v>4.3999999999999997E-2</v>
      </c>
      <c r="L21" s="1">
        <v>0.6</v>
      </c>
      <c r="M21" s="1">
        <v>2</v>
      </c>
      <c r="O21" s="25">
        <v>0.97</v>
      </c>
      <c r="X21" s="1">
        <v>10.815340248567891</v>
      </c>
      <c r="Y21" s="1">
        <v>7.3978910832726097</v>
      </c>
      <c r="Z21" s="1">
        <v>8.1683001196634244</v>
      </c>
      <c r="AA21" s="1">
        <v>-2.9827670566290712</v>
      </c>
      <c r="AB21" s="1">
        <v>99.038074713938059</v>
      </c>
      <c r="AC21" s="1">
        <v>10.97219349372531</v>
      </c>
      <c r="AD21" s="1">
        <v>9</v>
      </c>
      <c r="AE21" s="1">
        <v>2.9631993440619921</v>
      </c>
      <c r="AF21" s="1">
        <v>-1.486315355541096</v>
      </c>
      <c r="AG21" s="1">
        <v>0</v>
      </c>
      <c r="AH21" s="1">
        <v>0.49816110089503279</v>
      </c>
      <c r="AI21" s="1">
        <v>0</v>
      </c>
      <c r="AJ21" s="1">
        <v>0</v>
      </c>
      <c r="AK21" s="1">
        <v>12.47882422893843</v>
      </c>
      <c r="AL21" s="1">
        <v>9</v>
      </c>
      <c r="AM21" s="1">
        <v>4.8299879118634877E-2</v>
      </c>
      <c r="AN21" s="1">
        <v>3.832834941794673</v>
      </c>
      <c r="AO21" s="1">
        <v>0</v>
      </c>
      <c r="AP21" s="1">
        <v>-0.39986044863333159</v>
      </c>
      <c r="AQ21" s="1">
        <v>0</v>
      </c>
    </row>
    <row r="22" spans="1:43" ht="13" customHeight="1">
      <c r="A22" s="22">
        <v>41196</v>
      </c>
      <c r="B22" s="23">
        <v>8.3333333333333329E-2</v>
      </c>
      <c r="C22" s="24">
        <v>8.9</v>
      </c>
      <c r="D22" s="24">
        <v>76.900000000000006</v>
      </c>
      <c r="E22" s="1">
        <v>0.2</v>
      </c>
      <c r="F22" s="24">
        <v>1.428571428571429</v>
      </c>
      <c r="G22" s="24">
        <v>0</v>
      </c>
      <c r="H22" s="24">
        <v>268.19923822748808</v>
      </c>
      <c r="I22" s="24">
        <v>346.77066679891669</v>
      </c>
      <c r="J22" s="25">
        <v>0.60899999999999999</v>
      </c>
      <c r="K22" s="25">
        <v>4.3999999999999997E-2</v>
      </c>
      <c r="L22" s="1">
        <v>0.6</v>
      </c>
      <c r="M22" s="1">
        <v>2</v>
      </c>
      <c r="O22" s="25">
        <v>0.97</v>
      </c>
      <c r="X22" s="1">
        <v>11.21169217470738</v>
      </c>
      <c r="Y22" s="1">
        <v>7.344108588848405</v>
      </c>
      <c r="Z22" s="1">
        <v>8.0220475299953726</v>
      </c>
      <c r="AA22" s="1">
        <v>-3.0291990296308282</v>
      </c>
      <c r="AB22" s="1">
        <v>99.235707062383511</v>
      </c>
      <c r="AC22" s="1">
        <v>11.202336892295261</v>
      </c>
      <c r="AD22" s="1">
        <v>8.9</v>
      </c>
      <c r="AE22" s="1">
        <v>3.658871126643811</v>
      </c>
      <c r="AF22" s="1">
        <v>-1.9084023582710421</v>
      </c>
      <c r="AG22" s="1">
        <v>0</v>
      </c>
      <c r="AH22" s="1">
        <v>0.55459015367831077</v>
      </c>
      <c r="AI22" s="1">
        <v>0</v>
      </c>
      <c r="AJ22" s="1">
        <v>0</v>
      </c>
      <c r="AK22" s="1">
        <v>12.698737200111321</v>
      </c>
      <c r="AL22" s="1">
        <v>8.9</v>
      </c>
      <c r="AM22" s="1">
        <v>0.60761208466725791</v>
      </c>
      <c r="AN22" s="1">
        <v>3.5513696941667718</v>
      </c>
      <c r="AO22" s="1">
        <v>0</v>
      </c>
      <c r="AP22" s="1">
        <v>-0.35790705806807421</v>
      </c>
      <c r="AQ22" s="1">
        <v>0</v>
      </c>
    </row>
    <row r="23" spans="1:43" ht="13" customHeight="1">
      <c r="A23" s="22">
        <v>41196</v>
      </c>
      <c r="B23" s="23">
        <v>9.0277777777777776E-2</v>
      </c>
      <c r="C23" s="24">
        <v>9.1</v>
      </c>
      <c r="D23" s="24">
        <v>76.400000000000006</v>
      </c>
      <c r="E23" s="1">
        <v>0.3</v>
      </c>
      <c r="F23" s="24">
        <v>0</v>
      </c>
      <c r="G23" s="24">
        <v>0</v>
      </c>
      <c r="H23" s="24">
        <v>274.40979673082859</v>
      </c>
      <c r="I23" s="24">
        <v>348.69551101654292</v>
      </c>
      <c r="J23" s="25">
        <v>0.60899999999999999</v>
      </c>
      <c r="K23" s="25">
        <v>4.3999999999999997E-2</v>
      </c>
      <c r="L23" s="1">
        <v>0.6</v>
      </c>
      <c r="M23" s="1">
        <v>2</v>
      </c>
      <c r="O23" s="25">
        <v>0.97</v>
      </c>
      <c r="X23" s="1">
        <v>10.917631507831389</v>
      </c>
      <c r="Y23" s="1">
        <v>7.5000678832726067</v>
      </c>
      <c r="Z23" s="1">
        <v>8.3305048265965755</v>
      </c>
      <c r="AA23" s="1">
        <v>-2.953202821596995</v>
      </c>
      <c r="AB23" s="1">
        <v>98.891406602838742</v>
      </c>
      <c r="AC23" s="1">
        <v>11.12388512476014</v>
      </c>
      <c r="AD23" s="1">
        <v>9.1</v>
      </c>
      <c r="AE23" s="1">
        <v>2.958385277723496</v>
      </c>
      <c r="AF23" s="1">
        <v>-1.4313131085757691</v>
      </c>
      <c r="AG23" s="1">
        <v>0</v>
      </c>
      <c r="AH23" s="1">
        <v>0.49961556800990192</v>
      </c>
      <c r="AI23" s="1">
        <v>0</v>
      </c>
      <c r="AJ23" s="1">
        <v>0</v>
      </c>
      <c r="AK23" s="1">
        <v>12.61062212190838</v>
      </c>
      <c r="AL23" s="1">
        <v>9.1</v>
      </c>
      <c r="AM23" s="1">
        <v>5.1256703485787959E-2</v>
      </c>
      <c r="AN23" s="1">
        <v>3.863072549733674</v>
      </c>
      <c r="AO23" s="1">
        <v>0</v>
      </c>
      <c r="AP23" s="1">
        <v>-0.40129794897671872</v>
      </c>
      <c r="AQ23" s="1">
        <v>0</v>
      </c>
    </row>
    <row r="24" spans="1:43" ht="13" customHeight="1">
      <c r="A24" s="22">
        <v>41196</v>
      </c>
      <c r="B24" s="23">
        <v>9.7222222222222224E-2</v>
      </c>
      <c r="C24" s="24">
        <v>9</v>
      </c>
      <c r="D24" s="24">
        <v>76.599999999999994</v>
      </c>
      <c r="E24" s="1">
        <v>0.3</v>
      </c>
      <c r="F24" s="24">
        <v>0</v>
      </c>
      <c r="G24" s="24">
        <v>0</v>
      </c>
      <c r="H24" s="24">
        <v>271.05638108463103</v>
      </c>
      <c r="I24" s="24">
        <v>345.34209537034519</v>
      </c>
      <c r="J24" s="25">
        <v>0.60899999999999999</v>
      </c>
      <c r="K24" s="25">
        <v>4.3999999999999997E-2</v>
      </c>
      <c r="L24" s="1">
        <v>0.6</v>
      </c>
      <c r="M24" s="1">
        <v>2</v>
      </c>
      <c r="O24" s="25">
        <v>0.97</v>
      </c>
      <c r="X24" s="1">
        <v>10.815340248567891</v>
      </c>
      <c r="Y24" s="1">
        <v>7.4169950832726066</v>
      </c>
      <c r="Z24" s="1">
        <v>7.9950542183609841</v>
      </c>
      <c r="AA24" s="1">
        <v>-3.0058577637886308</v>
      </c>
      <c r="AB24" s="1">
        <v>99.141092119928871</v>
      </c>
      <c r="AC24" s="1">
        <v>10.801773742178749</v>
      </c>
      <c r="AD24" s="1">
        <v>9</v>
      </c>
      <c r="AE24" s="1">
        <v>2.9520056989973931</v>
      </c>
      <c r="AF24" s="1">
        <v>-1.6487250172746071</v>
      </c>
      <c r="AG24" s="1">
        <v>0</v>
      </c>
      <c r="AH24" s="1">
        <v>0.50139586384930857</v>
      </c>
      <c r="AI24" s="1">
        <v>0</v>
      </c>
      <c r="AJ24" s="1">
        <v>0</v>
      </c>
      <c r="AK24" s="1">
        <v>12.334166723386399</v>
      </c>
      <c r="AL24" s="1">
        <v>9</v>
      </c>
      <c r="AM24" s="1">
        <v>4.3367710115237518E-2</v>
      </c>
      <c r="AN24" s="1">
        <v>3.6877661214928441</v>
      </c>
      <c r="AO24" s="1">
        <v>0</v>
      </c>
      <c r="AP24" s="1">
        <v>-0.39447479730554941</v>
      </c>
      <c r="AQ24" s="1">
        <v>0</v>
      </c>
    </row>
    <row r="25" spans="1:43" ht="13" customHeight="1">
      <c r="A25" s="22">
        <v>41196</v>
      </c>
      <c r="B25" s="23">
        <v>0.1041666666666667</v>
      </c>
      <c r="C25" s="24">
        <v>8.6999999999999993</v>
      </c>
      <c r="D25" s="24">
        <v>78</v>
      </c>
      <c r="E25" s="1">
        <v>0.3</v>
      </c>
      <c r="F25" s="24">
        <v>0</v>
      </c>
      <c r="G25" s="24">
        <v>0</v>
      </c>
      <c r="H25" s="24">
        <v>273.85646808656372</v>
      </c>
      <c r="I25" s="24">
        <v>345.28503951513522</v>
      </c>
      <c r="J25" s="25">
        <v>0.60899999999999999</v>
      </c>
      <c r="K25" s="25">
        <v>4.3999999999999997E-2</v>
      </c>
      <c r="L25" s="1">
        <v>0.6</v>
      </c>
      <c r="M25" s="1">
        <v>2</v>
      </c>
      <c r="O25" s="25">
        <v>0.97</v>
      </c>
      <c r="X25" s="1">
        <v>10.50846647077735</v>
      </c>
      <c r="Y25" s="1">
        <v>7.2173190832726064</v>
      </c>
      <c r="Z25" s="1">
        <v>7.9667295617290366</v>
      </c>
      <c r="AA25" s="1">
        <v>-3.0361612789726151</v>
      </c>
      <c r="AB25" s="1">
        <v>99.262176533073287</v>
      </c>
      <c r="AC25" s="1">
        <v>10.75760220690684</v>
      </c>
      <c r="AD25" s="1">
        <v>8.6999999999999993</v>
      </c>
      <c r="AE25" s="1">
        <v>2.9944551898435172</v>
      </c>
      <c r="AF25" s="1">
        <v>-1.434527307873396</v>
      </c>
      <c r="AG25" s="1">
        <v>0</v>
      </c>
      <c r="AH25" s="1">
        <v>0.50059582949372194</v>
      </c>
      <c r="AI25" s="1">
        <v>0</v>
      </c>
      <c r="AJ25" s="1">
        <v>0</v>
      </c>
      <c r="AK25" s="1">
        <v>12.28890890434063</v>
      </c>
      <c r="AL25" s="1">
        <v>8.6999999999999993</v>
      </c>
      <c r="AM25" s="1">
        <v>4.6065100163676397E-2</v>
      </c>
      <c r="AN25" s="1">
        <v>3.9391080688239839</v>
      </c>
      <c r="AO25" s="1">
        <v>0</v>
      </c>
      <c r="AP25" s="1">
        <v>-0.39375510372568823</v>
      </c>
      <c r="AQ25" s="1">
        <v>0</v>
      </c>
    </row>
    <row r="26" spans="1:43" ht="13" customHeight="1">
      <c r="A26" s="22">
        <v>41196</v>
      </c>
      <c r="B26" s="23">
        <v>0.1111111111111111</v>
      </c>
      <c r="C26" s="24">
        <v>8.5</v>
      </c>
      <c r="D26" s="24">
        <v>78.2</v>
      </c>
      <c r="E26" s="1">
        <v>0.3</v>
      </c>
      <c r="F26" s="24">
        <v>0</v>
      </c>
      <c r="G26" s="24">
        <v>0</v>
      </c>
      <c r="H26" s="24">
        <v>272.9225742857675</v>
      </c>
      <c r="I26" s="24">
        <v>347.20828857148177</v>
      </c>
      <c r="J26" s="25">
        <v>0.60899999999999999</v>
      </c>
      <c r="K26" s="25">
        <v>4.3999999999999997E-2</v>
      </c>
      <c r="L26" s="1">
        <v>0.6</v>
      </c>
      <c r="M26" s="1">
        <v>2</v>
      </c>
      <c r="O26" s="25">
        <v>0.97</v>
      </c>
      <c r="X26" s="1">
        <v>10.303883952250329</v>
      </c>
      <c r="Y26" s="1">
        <v>7.0372110832726076</v>
      </c>
      <c r="Z26" s="1">
        <v>7.8954294803579543</v>
      </c>
      <c r="AA26" s="1">
        <v>-3.0630927394429421</v>
      </c>
      <c r="AB26" s="1">
        <v>99.357437383798995</v>
      </c>
      <c r="AC26" s="1">
        <v>10.69049338915173</v>
      </c>
      <c r="AD26" s="1">
        <v>8.5</v>
      </c>
      <c r="AE26" s="1">
        <v>3.0200760773660331</v>
      </c>
      <c r="AF26" s="1">
        <v>-1.3236785067739749</v>
      </c>
      <c r="AG26" s="1">
        <v>0</v>
      </c>
      <c r="AH26" s="1">
        <v>0.49704195768117759</v>
      </c>
      <c r="AI26" s="1">
        <v>0</v>
      </c>
      <c r="AJ26" s="1">
        <v>0</v>
      </c>
      <c r="AK26" s="1">
        <v>12.226464109881769</v>
      </c>
      <c r="AL26" s="1">
        <v>8.5</v>
      </c>
      <c r="AM26" s="1">
        <v>4.6887557655640962E-2</v>
      </c>
      <c r="AN26" s="1">
        <v>4.0773342252771014</v>
      </c>
      <c r="AO26" s="1">
        <v>0</v>
      </c>
      <c r="AP26" s="1">
        <v>-0.39522719069845658</v>
      </c>
      <c r="AQ26" s="1">
        <v>0</v>
      </c>
    </row>
    <row r="27" spans="1:43" ht="13" customHeight="1">
      <c r="A27" s="22">
        <v>41196</v>
      </c>
      <c r="B27" s="23">
        <v>0.11805555555555559</v>
      </c>
      <c r="C27" s="24">
        <v>8.6999999999999993</v>
      </c>
      <c r="D27" s="24">
        <v>79</v>
      </c>
      <c r="E27" s="1">
        <v>0.2</v>
      </c>
      <c r="F27" s="24">
        <v>0</v>
      </c>
      <c r="G27" s="24">
        <v>0</v>
      </c>
      <c r="H27" s="24">
        <v>270.50517856147587</v>
      </c>
      <c r="I27" s="24">
        <v>344.79089284719021</v>
      </c>
      <c r="J27" s="25">
        <v>0.60899999999999999</v>
      </c>
      <c r="K27" s="25">
        <v>4.3999999999999997E-2</v>
      </c>
      <c r="L27" s="1">
        <v>0.6</v>
      </c>
      <c r="M27" s="1">
        <v>2</v>
      </c>
      <c r="O27" s="25">
        <v>0.97</v>
      </c>
      <c r="X27" s="1">
        <v>11.01215259052066</v>
      </c>
      <c r="Y27" s="1">
        <v>7.2840873888484046</v>
      </c>
      <c r="Z27" s="1">
        <v>7.9683575175249457</v>
      </c>
      <c r="AA27" s="1">
        <v>-3.0555523511525688</v>
      </c>
      <c r="AB27" s="1">
        <v>99.331875061681529</v>
      </c>
      <c r="AC27" s="1">
        <v>11.125287485884609</v>
      </c>
      <c r="AD27" s="1">
        <v>8.6999999999999993</v>
      </c>
      <c r="AE27" s="1">
        <v>3.6899585777256361</v>
      </c>
      <c r="AF27" s="1">
        <v>-1.8214960389558841</v>
      </c>
      <c r="AG27" s="1">
        <v>0</v>
      </c>
      <c r="AH27" s="1">
        <v>0.55957203997434335</v>
      </c>
      <c r="AI27" s="1">
        <v>0</v>
      </c>
      <c r="AJ27" s="1">
        <v>0</v>
      </c>
      <c r="AK27" s="1">
        <v>12.62889374221395</v>
      </c>
      <c r="AL27" s="1">
        <v>8.6999999999999993</v>
      </c>
      <c r="AM27" s="1">
        <v>0.61251570610954686</v>
      </c>
      <c r="AN27" s="1">
        <v>3.6708008331784678</v>
      </c>
      <c r="AO27" s="1">
        <v>0</v>
      </c>
      <c r="AP27" s="1">
        <v>-0.35206384199664242</v>
      </c>
      <c r="AQ27" s="1">
        <v>0</v>
      </c>
    </row>
    <row r="28" spans="1:43" ht="13" customHeight="1">
      <c r="A28" s="22">
        <v>41196</v>
      </c>
      <c r="B28" s="23">
        <v>0.125</v>
      </c>
      <c r="C28" s="24">
        <v>8.4</v>
      </c>
      <c r="D28" s="24">
        <v>79.900000000000006</v>
      </c>
      <c r="E28" s="1">
        <v>0.3</v>
      </c>
      <c r="F28" s="24">
        <v>0</v>
      </c>
      <c r="G28" s="24">
        <v>0</v>
      </c>
      <c r="H28" s="24">
        <v>273.36232141861882</v>
      </c>
      <c r="I28" s="24">
        <v>347.64803570433298</v>
      </c>
      <c r="J28" s="25">
        <v>0.60899999999999999</v>
      </c>
      <c r="K28" s="25">
        <v>4.3999999999999997E-2</v>
      </c>
      <c r="L28" s="1">
        <v>0.6</v>
      </c>
      <c r="M28" s="1">
        <v>2</v>
      </c>
      <c r="O28" s="25">
        <v>0.97</v>
      </c>
      <c r="X28" s="1">
        <v>10.20159269298682</v>
      </c>
      <c r="Y28" s="1">
        <v>7.0461542832726094</v>
      </c>
      <c r="Z28" s="1">
        <v>7.91180937706996</v>
      </c>
      <c r="AA28" s="1">
        <v>-3.07117241818607</v>
      </c>
      <c r="AB28" s="1">
        <v>99.383907245531972</v>
      </c>
      <c r="AC28" s="1">
        <v>10.6808303657905</v>
      </c>
      <c r="AD28" s="1">
        <v>8.4</v>
      </c>
      <c r="AE28" s="1">
        <v>3.0349038165493871</v>
      </c>
      <c r="AF28" s="1">
        <v>-1.2534023875727369</v>
      </c>
      <c r="AG28" s="1">
        <v>0</v>
      </c>
      <c r="AH28" s="1">
        <v>0.50227821537052575</v>
      </c>
      <c r="AI28" s="1">
        <v>0</v>
      </c>
      <c r="AJ28" s="1">
        <v>0</v>
      </c>
      <c r="AK28" s="1">
        <v>12.21616484862364</v>
      </c>
      <c r="AL28" s="1">
        <v>8.4</v>
      </c>
      <c r="AM28" s="1">
        <v>4.77978066849718E-2</v>
      </c>
      <c r="AN28" s="1">
        <v>4.1613618389786264</v>
      </c>
      <c r="AO28" s="1">
        <v>0</v>
      </c>
      <c r="AP28" s="1">
        <v>-0.39046135912381219</v>
      </c>
      <c r="AQ28" s="1">
        <v>0</v>
      </c>
    </row>
    <row r="29" spans="1:43" ht="13" customHeight="1">
      <c r="A29" s="22">
        <v>41196</v>
      </c>
      <c r="B29" s="23">
        <v>0.13194444444444439</v>
      </c>
      <c r="C29" s="24">
        <v>8.3000000000000007</v>
      </c>
      <c r="D29" s="24">
        <v>80.099999999999994</v>
      </c>
      <c r="E29" s="1">
        <v>0.3</v>
      </c>
      <c r="F29" s="24">
        <v>0</v>
      </c>
      <c r="G29" s="24">
        <v>0</v>
      </c>
      <c r="H29" s="24">
        <v>274.29727675900358</v>
      </c>
      <c r="I29" s="24">
        <v>348.58299104471791</v>
      </c>
      <c r="J29" s="25">
        <v>0.60899999999999999</v>
      </c>
      <c r="K29" s="25">
        <v>4.3999999999999997E-2</v>
      </c>
      <c r="L29" s="1">
        <v>0.6</v>
      </c>
      <c r="M29" s="1">
        <v>2</v>
      </c>
      <c r="O29" s="25">
        <v>0.97</v>
      </c>
      <c r="X29" s="1">
        <v>10.0993014337233</v>
      </c>
      <c r="Y29" s="1">
        <v>6.9616506832726071</v>
      </c>
      <c r="Z29" s="1">
        <v>7.9360377786152076</v>
      </c>
      <c r="AA29" s="1">
        <v>-3.0765033591532949</v>
      </c>
      <c r="AB29" s="1">
        <v>99.400862633582989</v>
      </c>
      <c r="AC29" s="1">
        <v>10.70296823105552</v>
      </c>
      <c r="AD29" s="1">
        <v>8.3000000000000007</v>
      </c>
      <c r="AE29" s="1">
        <v>3.0513710890773029</v>
      </c>
      <c r="AF29" s="1">
        <v>-1.1457910761231249</v>
      </c>
      <c r="AG29" s="1">
        <v>0</v>
      </c>
      <c r="AH29" s="1">
        <v>0.50033302565478044</v>
      </c>
      <c r="AI29" s="1">
        <v>0</v>
      </c>
      <c r="AJ29" s="1">
        <v>0</v>
      </c>
      <c r="AK29" s="1">
        <v>12.232273160201849</v>
      </c>
      <c r="AL29" s="1">
        <v>8.3000000000000007</v>
      </c>
      <c r="AM29" s="1">
        <v>4.9847355472199463E-2</v>
      </c>
      <c r="AN29" s="1">
        <v>4.2771557669898179</v>
      </c>
      <c r="AO29" s="1">
        <v>0</v>
      </c>
      <c r="AP29" s="1">
        <v>-0.39219968787197318</v>
      </c>
      <c r="AQ29" s="1">
        <v>0</v>
      </c>
    </row>
    <row r="30" spans="1:43" ht="13" customHeight="1">
      <c r="A30" s="22">
        <v>41196</v>
      </c>
      <c r="B30" s="23">
        <v>0.1388888888888889</v>
      </c>
      <c r="C30" s="24">
        <v>8.1999999999999993</v>
      </c>
      <c r="D30" s="24">
        <v>81.099999999999994</v>
      </c>
      <c r="E30" s="1">
        <v>0.2</v>
      </c>
      <c r="F30" s="24">
        <v>0</v>
      </c>
      <c r="G30" s="24">
        <v>0</v>
      </c>
      <c r="H30" s="24">
        <v>271.4401339018608</v>
      </c>
      <c r="I30" s="24">
        <v>344.29727675900358</v>
      </c>
      <c r="J30" s="25">
        <v>0.60899999999999999</v>
      </c>
      <c r="K30" s="25">
        <v>4.3999999999999997E-2</v>
      </c>
      <c r="L30" s="1">
        <v>0.6</v>
      </c>
      <c r="M30" s="1">
        <v>2</v>
      </c>
      <c r="O30" s="25">
        <v>0.97</v>
      </c>
      <c r="X30" s="1">
        <v>10.51330363005385</v>
      </c>
      <c r="Y30" s="1">
        <v>6.9300697888484031</v>
      </c>
      <c r="Z30" s="1">
        <v>7.7443696304868146</v>
      </c>
      <c r="AA30" s="1">
        <v>-3.1301958324650831</v>
      </c>
      <c r="AB30" s="1">
        <v>99.55072695908747</v>
      </c>
      <c r="AC30" s="1">
        <v>10.89999499320863</v>
      </c>
      <c r="AD30" s="1">
        <v>8.1999999999999993</v>
      </c>
      <c r="AE30" s="1">
        <v>3.7640610158498879</v>
      </c>
      <c r="AF30" s="1">
        <v>-1.6192590958630979</v>
      </c>
      <c r="AG30" s="1">
        <v>0</v>
      </c>
      <c r="AH30" s="1">
        <v>0.55801602732953404</v>
      </c>
      <c r="AI30" s="1">
        <v>0</v>
      </c>
      <c r="AJ30" s="1">
        <v>0</v>
      </c>
      <c r="AK30" s="1">
        <v>12.42527071673064</v>
      </c>
      <c r="AL30" s="1">
        <v>8.1999999999999993</v>
      </c>
      <c r="AM30" s="1">
        <v>0.62364025747127128</v>
      </c>
      <c r="AN30" s="1">
        <v>3.9527503254100802</v>
      </c>
      <c r="AO30" s="1">
        <v>0</v>
      </c>
      <c r="AP30" s="1">
        <v>-0.34869617243903389</v>
      </c>
      <c r="AQ30" s="1">
        <v>0</v>
      </c>
    </row>
    <row r="31" spans="1:43" ht="13" customHeight="1">
      <c r="A31" s="22">
        <v>41196</v>
      </c>
      <c r="B31" s="23">
        <v>0.14583333333333329</v>
      </c>
      <c r="C31" s="24">
        <v>8.4</v>
      </c>
      <c r="D31" s="24">
        <v>82.7</v>
      </c>
      <c r="E31" s="1">
        <v>0.3</v>
      </c>
      <c r="F31" s="24">
        <v>1.428571428571429</v>
      </c>
      <c r="G31" s="24">
        <v>0</v>
      </c>
      <c r="H31" s="24">
        <v>274.29727675900358</v>
      </c>
      <c r="I31" s="24">
        <v>348.58299104471791</v>
      </c>
      <c r="J31" s="25">
        <v>0.60899999999999999</v>
      </c>
      <c r="K31" s="25">
        <v>4.3999999999999997E-2</v>
      </c>
      <c r="L31" s="1">
        <v>0.6</v>
      </c>
      <c r="M31" s="1">
        <v>2</v>
      </c>
      <c r="O31" s="25">
        <v>0.97</v>
      </c>
      <c r="X31" s="1">
        <v>10.20159269298682</v>
      </c>
      <c r="Y31" s="1">
        <v>7.2195526832726076</v>
      </c>
      <c r="Z31" s="1">
        <v>8.0529411742298862</v>
      </c>
      <c r="AA31" s="1">
        <v>-3.055794981066029</v>
      </c>
      <c r="AB31" s="1">
        <v>99.332710731587142</v>
      </c>
      <c r="AC31" s="1">
        <v>10.770632227546241</v>
      </c>
      <c r="AD31" s="1">
        <v>8.4</v>
      </c>
      <c r="AE31" s="1">
        <v>3.04156651925428</v>
      </c>
      <c r="AF31" s="1">
        <v>-1.1820325947554771</v>
      </c>
      <c r="AG31" s="1">
        <v>0</v>
      </c>
      <c r="AH31" s="1">
        <v>0.51401715968683581</v>
      </c>
      <c r="AI31" s="1">
        <v>0</v>
      </c>
      <c r="AJ31" s="1">
        <v>0</v>
      </c>
      <c r="AK31" s="1">
        <v>12.293545597687659</v>
      </c>
      <c r="AL31" s="1">
        <v>8.4</v>
      </c>
      <c r="AM31" s="1">
        <v>5.0082392308140142E-2</v>
      </c>
      <c r="AN31" s="1">
        <v>4.2279888090281066</v>
      </c>
      <c r="AO31" s="1">
        <v>0</v>
      </c>
      <c r="AP31" s="1">
        <v>-0.38201747853188878</v>
      </c>
      <c r="AQ31" s="1">
        <v>0</v>
      </c>
    </row>
    <row r="32" spans="1:43" ht="13" customHeight="1">
      <c r="A32" s="22">
        <v>41196</v>
      </c>
      <c r="B32" s="23">
        <v>0.15277777777777779</v>
      </c>
      <c r="C32" s="24">
        <v>8.6</v>
      </c>
      <c r="D32" s="24">
        <v>80.400000000000006</v>
      </c>
      <c r="E32" s="1">
        <v>0.3</v>
      </c>
      <c r="F32" s="24">
        <v>0</v>
      </c>
      <c r="G32" s="24">
        <v>0</v>
      </c>
      <c r="H32" s="24">
        <v>272.86870533043219</v>
      </c>
      <c r="I32" s="24">
        <v>345.72584818757508</v>
      </c>
      <c r="J32" s="25">
        <v>0.60899999999999999</v>
      </c>
      <c r="K32" s="25">
        <v>4.3999999999999997E-2</v>
      </c>
      <c r="L32" s="1">
        <v>0.6</v>
      </c>
      <c r="M32" s="1">
        <v>2</v>
      </c>
      <c r="O32" s="25">
        <v>0.97</v>
      </c>
      <c r="X32" s="1">
        <v>10.40617521151384</v>
      </c>
      <c r="Y32" s="1">
        <v>7.2710718832726098</v>
      </c>
      <c r="Z32" s="1">
        <v>7.9391433270299041</v>
      </c>
      <c r="AA32" s="1">
        <v>-3.0508050659003869</v>
      </c>
      <c r="AB32" s="1">
        <v>99.315346151799744</v>
      </c>
      <c r="AC32" s="1">
        <v>10.694497066350531</v>
      </c>
      <c r="AD32" s="1">
        <v>8.6</v>
      </c>
      <c r="AE32" s="1">
        <v>3.005993091036343</v>
      </c>
      <c r="AF32" s="1">
        <v>-1.4182575913129301</v>
      </c>
      <c r="AG32" s="1">
        <v>0</v>
      </c>
      <c r="AH32" s="1">
        <v>0.50970132082935682</v>
      </c>
      <c r="AI32" s="1">
        <v>0</v>
      </c>
      <c r="AJ32" s="1">
        <v>0</v>
      </c>
      <c r="AK32" s="1">
        <v>12.23352511044804</v>
      </c>
      <c r="AL32" s="1">
        <v>8.6</v>
      </c>
      <c r="AM32" s="1">
        <v>4.5319349838699119E-2</v>
      </c>
      <c r="AN32" s="1">
        <v>3.9756533034470372</v>
      </c>
      <c r="AO32" s="1">
        <v>0</v>
      </c>
      <c r="AP32" s="1">
        <v>-0.38492306207071741</v>
      </c>
      <c r="AQ32" s="1">
        <v>0</v>
      </c>
    </row>
    <row r="33" spans="1:43" ht="13" customHeight="1">
      <c r="A33" s="22">
        <v>41196</v>
      </c>
      <c r="B33" s="23">
        <v>0.15972222222222221</v>
      </c>
      <c r="C33" s="24">
        <v>8.5</v>
      </c>
      <c r="D33" s="24">
        <v>81.3</v>
      </c>
      <c r="E33" s="1">
        <v>0.3</v>
      </c>
      <c r="F33" s="24">
        <v>0</v>
      </c>
      <c r="G33" s="24">
        <v>0</v>
      </c>
      <c r="H33" s="24">
        <v>272.86870533043219</v>
      </c>
      <c r="I33" s="24">
        <v>347.15441961614653</v>
      </c>
      <c r="J33" s="25">
        <v>0.60899999999999999</v>
      </c>
      <c r="K33" s="25">
        <v>4.3999999999999997E-2</v>
      </c>
      <c r="L33" s="1">
        <v>0.6</v>
      </c>
      <c r="M33" s="1">
        <v>2</v>
      </c>
      <c r="O33" s="25">
        <v>0.97</v>
      </c>
      <c r="X33" s="1">
        <v>10.303883952250329</v>
      </c>
      <c r="Y33" s="1">
        <v>7.2300930832726067</v>
      </c>
      <c r="Z33" s="1">
        <v>7.9605347565585944</v>
      </c>
      <c r="AA33" s="1">
        <v>-3.0580580376586259</v>
      </c>
      <c r="AB33" s="1">
        <v>99.340462865997921</v>
      </c>
      <c r="AC33" s="1">
        <v>10.70260413083323</v>
      </c>
      <c r="AD33" s="1">
        <v>8.5</v>
      </c>
      <c r="AE33" s="1">
        <v>3.021753413626771</v>
      </c>
      <c r="AF33" s="1">
        <v>-1.327275953036902</v>
      </c>
      <c r="AG33" s="1">
        <v>0</v>
      </c>
      <c r="AH33" s="1">
        <v>0.51106527299229354</v>
      </c>
      <c r="AI33" s="1">
        <v>0</v>
      </c>
      <c r="AJ33" s="1">
        <v>0</v>
      </c>
      <c r="AK33" s="1">
        <v>12.23798720891822</v>
      </c>
      <c r="AL33" s="1">
        <v>8.5</v>
      </c>
      <c r="AM33" s="1">
        <v>4.6843825112850568E-2</v>
      </c>
      <c r="AN33" s="1">
        <v>4.0773394622503254</v>
      </c>
      <c r="AO33" s="1">
        <v>0</v>
      </c>
      <c r="AP33" s="1">
        <v>-0.38367209579478678</v>
      </c>
      <c r="AQ33" s="1">
        <v>0</v>
      </c>
    </row>
    <row r="34" spans="1:43" ht="13" customHeight="1">
      <c r="A34" s="22">
        <v>41196</v>
      </c>
      <c r="B34" s="23">
        <v>0.16666666666666671</v>
      </c>
      <c r="C34" s="24">
        <v>8.1999999999999993</v>
      </c>
      <c r="D34" s="24">
        <v>82.1</v>
      </c>
      <c r="E34" s="1">
        <v>0.3</v>
      </c>
      <c r="F34" s="24">
        <v>2.8571428571428572</v>
      </c>
      <c r="G34" s="24">
        <v>0</v>
      </c>
      <c r="H34" s="24">
        <v>270.45449194515828</v>
      </c>
      <c r="I34" s="24">
        <v>340.45449194515828</v>
      </c>
      <c r="J34" s="25">
        <v>0.60899999999999999</v>
      </c>
      <c r="K34" s="25">
        <v>4.3999999999999997E-2</v>
      </c>
      <c r="L34" s="1">
        <v>0.6</v>
      </c>
      <c r="M34" s="1">
        <v>2</v>
      </c>
      <c r="O34" s="25">
        <v>0.97</v>
      </c>
      <c r="X34" s="1">
        <v>9.9970101744597955</v>
      </c>
      <c r="Y34" s="1">
        <v>6.9874494832726057</v>
      </c>
      <c r="Z34" s="1">
        <v>7.4136206960973077</v>
      </c>
      <c r="AA34" s="1">
        <v>-3.1550945127890699</v>
      </c>
      <c r="AB34" s="1">
        <v>99.608540514511617</v>
      </c>
      <c r="AC34" s="1">
        <v>10.178466902879039</v>
      </c>
      <c r="AD34" s="1">
        <v>8.1999999999999993</v>
      </c>
      <c r="AE34" s="1">
        <v>3.0331502547915332</v>
      </c>
      <c r="AF34" s="1">
        <v>-1.5637854006108849</v>
      </c>
      <c r="AG34" s="1">
        <v>0</v>
      </c>
      <c r="AH34" s="1">
        <v>0.51220105022139473</v>
      </c>
      <c r="AI34" s="1">
        <v>0</v>
      </c>
      <c r="AJ34" s="1">
        <v>0</v>
      </c>
      <c r="AK34" s="1">
        <v>11.78559727269986</v>
      </c>
      <c r="AL34" s="1">
        <v>8.1999999999999993</v>
      </c>
      <c r="AM34" s="1">
        <v>3.5609217971216349E-2</v>
      </c>
      <c r="AN34" s="1">
        <v>3.9267762494144351</v>
      </c>
      <c r="AO34" s="1">
        <v>0</v>
      </c>
      <c r="AP34" s="1">
        <v>-0.37413102087143918</v>
      </c>
      <c r="AQ34" s="1">
        <v>0</v>
      </c>
    </row>
    <row r="35" spans="1:43" ht="13" customHeight="1">
      <c r="A35" s="22">
        <v>41196</v>
      </c>
      <c r="B35" s="23">
        <v>0.1736111111111111</v>
      </c>
      <c r="C35" s="24">
        <v>8.1999999999999993</v>
      </c>
      <c r="D35" s="24">
        <v>83.3</v>
      </c>
      <c r="E35" s="1">
        <v>0.3</v>
      </c>
      <c r="F35" s="24">
        <v>0</v>
      </c>
      <c r="G35" s="24">
        <v>0</v>
      </c>
      <c r="H35" s="24">
        <v>273.31163480230123</v>
      </c>
      <c r="I35" s="24">
        <v>344.74020623087262</v>
      </c>
      <c r="J35" s="25">
        <v>0.60899999999999999</v>
      </c>
      <c r="K35" s="25">
        <v>4.3999999999999997E-2</v>
      </c>
      <c r="L35" s="1">
        <v>0.6</v>
      </c>
      <c r="M35" s="1">
        <v>2</v>
      </c>
      <c r="O35" s="25">
        <v>0.97</v>
      </c>
      <c r="X35" s="1">
        <v>9.9970101744597955</v>
      </c>
      <c r="Y35" s="1">
        <v>7.0610622832726069</v>
      </c>
      <c r="Z35" s="1">
        <v>7.7436500882265982</v>
      </c>
      <c r="AA35" s="1">
        <v>-3.1134948434912251</v>
      </c>
      <c r="AB35" s="1">
        <v>99.507987742504355</v>
      </c>
      <c r="AC35" s="1">
        <v>10.471769127323199</v>
      </c>
      <c r="AD35" s="1">
        <v>8.1999999999999993</v>
      </c>
      <c r="AE35" s="1">
        <v>3.0522558058372051</v>
      </c>
      <c r="AF35" s="1">
        <v>-1.291961251693891</v>
      </c>
      <c r="AG35" s="1">
        <v>0</v>
      </c>
      <c r="AH35" s="1">
        <v>0.51448647130902936</v>
      </c>
      <c r="AI35" s="1">
        <v>0</v>
      </c>
      <c r="AJ35" s="1">
        <v>0</v>
      </c>
      <c r="AK35" s="1">
        <v>12.03453694864594</v>
      </c>
      <c r="AL35" s="1">
        <v>8.1999999999999993</v>
      </c>
      <c r="AM35" s="1">
        <v>4.4038755638992663E-2</v>
      </c>
      <c r="AN35" s="1">
        <v>4.1696713469450213</v>
      </c>
      <c r="AO35" s="1">
        <v>0</v>
      </c>
      <c r="AP35" s="1">
        <v>-0.37658748597178571</v>
      </c>
      <c r="AQ35" s="1">
        <v>0</v>
      </c>
    </row>
    <row r="36" spans="1:43" ht="13" customHeight="1">
      <c r="A36" s="22">
        <v>41196</v>
      </c>
      <c r="B36" s="23">
        <v>0.18055555555555561</v>
      </c>
      <c r="C36" s="24">
        <v>8</v>
      </c>
      <c r="D36" s="24">
        <v>83.9</v>
      </c>
      <c r="E36" s="1">
        <v>0.3</v>
      </c>
      <c r="F36" s="24">
        <v>1.428571428571429</v>
      </c>
      <c r="G36" s="24">
        <v>0</v>
      </c>
      <c r="H36" s="24">
        <v>274.24817960289391</v>
      </c>
      <c r="I36" s="24">
        <v>342.81960817432252</v>
      </c>
      <c r="J36" s="25">
        <v>0.60899999999999999</v>
      </c>
      <c r="K36" s="25">
        <v>4.3999999999999997E-2</v>
      </c>
      <c r="L36" s="1">
        <v>0.6</v>
      </c>
      <c r="M36" s="1">
        <v>2</v>
      </c>
      <c r="O36" s="25">
        <v>0.97</v>
      </c>
      <c r="X36" s="1">
        <v>9.7924276559327712</v>
      </c>
      <c r="Y36" s="1">
        <v>6.9018710832726082</v>
      </c>
      <c r="Z36" s="1">
        <v>7.5960282406297139</v>
      </c>
      <c r="AA36" s="1">
        <v>-3.1499679509327452</v>
      </c>
      <c r="AB36" s="1">
        <v>99.59718883632145</v>
      </c>
      <c r="AC36" s="1">
        <v>10.32724185195026</v>
      </c>
      <c r="AD36" s="1">
        <v>8</v>
      </c>
      <c r="AE36" s="1">
        <v>3.073104944595392</v>
      </c>
      <c r="AF36" s="1">
        <v>-1.2561029266362691</v>
      </c>
      <c r="AG36" s="1">
        <v>0</v>
      </c>
      <c r="AH36" s="1">
        <v>0.51329815014387403</v>
      </c>
      <c r="AI36" s="1">
        <v>0</v>
      </c>
      <c r="AJ36" s="1">
        <v>0</v>
      </c>
      <c r="AK36" s="1">
        <v>11.90664263254209</v>
      </c>
      <c r="AL36" s="1">
        <v>8</v>
      </c>
      <c r="AM36" s="1">
        <v>4.2510407455257873E-2</v>
      </c>
      <c r="AN36" s="1">
        <v>4.2417106378443776</v>
      </c>
      <c r="AO36" s="1">
        <v>0</v>
      </c>
      <c r="AP36" s="1">
        <v>-0.37495360990815862</v>
      </c>
      <c r="AQ36" s="1">
        <v>0</v>
      </c>
    </row>
    <row r="37" spans="1:43" ht="13" customHeight="1">
      <c r="A37" s="22">
        <v>41196</v>
      </c>
      <c r="B37" s="23">
        <v>0.1875</v>
      </c>
      <c r="C37" s="24">
        <v>8.1999999999999993</v>
      </c>
      <c r="D37" s="24">
        <v>85.2</v>
      </c>
      <c r="E37" s="1">
        <v>0.2</v>
      </c>
      <c r="F37" s="24">
        <v>0</v>
      </c>
      <c r="G37" s="24">
        <v>0</v>
      </c>
      <c r="H37" s="24">
        <v>276.168777659444</v>
      </c>
      <c r="I37" s="24">
        <v>346.168777659444</v>
      </c>
      <c r="J37" s="25">
        <v>0.60899999999999999</v>
      </c>
      <c r="K37" s="25">
        <v>4.3999999999999997E-2</v>
      </c>
      <c r="L37" s="1">
        <v>0.6</v>
      </c>
      <c r="M37" s="1">
        <v>2</v>
      </c>
      <c r="O37" s="25">
        <v>0.97</v>
      </c>
      <c r="X37" s="1">
        <v>10.51330363005385</v>
      </c>
      <c r="Y37" s="1">
        <v>7.1815801888484057</v>
      </c>
      <c r="Z37" s="1">
        <v>8.1138817687723872</v>
      </c>
      <c r="AA37" s="1">
        <v>-3.086439004436635</v>
      </c>
      <c r="AB37" s="1">
        <v>99.431411368470577</v>
      </c>
      <c r="AC37" s="1">
        <v>11.19723035651236</v>
      </c>
      <c r="AD37" s="1">
        <v>8.1999999999999993</v>
      </c>
      <c r="AE37" s="1">
        <v>3.7890418999168181</v>
      </c>
      <c r="AF37" s="1">
        <v>-1.362002406916109</v>
      </c>
      <c r="AG37" s="1">
        <v>0</v>
      </c>
      <c r="AH37" s="1">
        <v>0.57292045765318433</v>
      </c>
      <c r="AI37" s="1">
        <v>0</v>
      </c>
      <c r="AJ37" s="1">
        <v>0</v>
      </c>
      <c r="AK37" s="1">
        <v>12.680039570521821</v>
      </c>
      <c r="AL37" s="1">
        <v>8.1999999999999993</v>
      </c>
      <c r="AM37" s="1">
        <v>0.63598023371602996</v>
      </c>
      <c r="AN37" s="1">
        <v>4.1873209149606643</v>
      </c>
      <c r="AO37" s="1">
        <v>0</v>
      </c>
      <c r="AP37" s="1">
        <v>-0.34091533522291778</v>
      </c>
      <c r="AQ37" s="1">
        <v>0</v>
      </c>
    </row>
    <row r="38" spans="1:43" ht="13" customHeight="1">
      <c r="A38" s="22">
        <v>41196</v>
      </c>
      <c r="B38" s="23">
        <v>0.19444444444444439</v>
      </c>
      <c r="C38" s="24">
        <v>8.4</v>
      </c>
      <c r="D38" s="24">
        <v>85.1</v>
      </c>
      <c r="E38" s="1">
        <v>0.2</v>
      </c>
      <c r="F38" s="24">
        <v>0</v>
      </c>
      <c r="G38" s="24">
        <v>0</v>
      </c>
      <c r="H38" s="24">
        <v>276.66133372778307</v>
      </c>
      <c r="I38" s="24">
        <v>345.23276229921169</v>
      </c>
      <c r="J38" s="25">
        <v>0.60899999999999999</v>
      </c>
      <c r="K38" s="25">
        <v>4.3999999999999997E-2</v>
      </c>
      <c r="L38" s="1">
        <v>0.6</v>
      </c>
      <c r="M38" s="1">
        <v>2</v>
      </c>
      <c r="O38" s="25">
        <v>0.97</v>
      </c>
      <c r="X38" s="1">
        <v>10.71284321424058</v>
      </c>
      <c r="Y38" s="1">
        <v>7.3721441888484058</v>
      </c>
      <c r="Z38" s="1">
        <v>8.2096367184721473</v>
      </c>
      <c r="AA38" s="1">
        <v>-3.056912366085319</v>
      </c>
      <c r="AB38" s="1">
        <v>99.336547890794705</v>
      </c>
      <c r="AC38" s="1">
        <v>11.280359636179041</v>
      </c>
      <c r="AD38" s="1">
        <v>8.4</v>
      </c>
      <c r="AE38" s="1">
        <v>3.7592604284172122</v>
      </c>
      <c r="AF38" s="1">
        <v>-1.45327773747266</v>
      </c>
      <c r="AG38" s="1">
        <v>0</v>
      </c>
      <c r="AH38" s="1">
        <v>0.57707682712818453</v>
      </c>
      <c r="AI38" s="1">
        <v>0</v>
      </c>
      <c r="AJ38" s="1">
        <v>0</v>
      </c>
      <c r="AK38" s="1">
        <v>12.75590934773763</v>
      </c>
      <c r="AL38" s="1">
        <v>8.4</v>
      </c>
      <c r="AM38" s="1">
        <v>0.63114501159622294</v>
      </c>
      <c r="AN38" s="1">
        <v>4.0663147930256569</v>
      </c>
      <c r="AO38" s="1">
        <v>0</v>
      </c>
      <c r="AP38" s="1">
        <v>-0.33922969961637128</v>
      </c>
      <c r="AQ38" s="1">
        <v>0</v>
      </c>
    </row>
    <row r="39" spans="1:43" ht="13" customHeight="1">
      <c r="A39" s="22">
        <v>41196</v>
      </c>
      <c r="B39" s="23">
        <v>0.2013888888888889</v>
      </c>
      <c r="C39" s="24">
        <v>8.1999999999999993</v>
      </c>
      <c r="D39" s="24">
        <v>84.6</v>
      </c>
      <c r="E39" s="1">
        <v>0.2</v>
      </c>
      <c r="F39" s="24">
        <v>0</v>
      </c>
      <c r="G39" s="24">
        <v>0</v>
      </c>
      <c r="H39" s="24">
        <v>273.75668203574918</v>
      </c>
      <c r="I39" s="24">
        <v>340.89953917860629</v>
      </c>
      <c r="J39" s="25">
        <v>0.60899999999999999</v>
      </c>
      <c r="K39" s="25">
        <v>4.3999999999999997E-2</v>
      </c>
      <c r="L39" s="1">
        <v>0.6</v>
      </c>
      <c r="M39" s="1">
        <v>2</v>
      </c>
      <c r="O39" s="25">
        <v>0.97</v>
      </c>
      <c r="X39" s="1">
        <v>10.51330363005385</v>
      </c>
      <c r="Y39" s="1">
        <v>7.1447737888484042</v>
      </c>
      <c r="Z39" s="1">
        <v>7.7743318468849569</v>
      </c>
      <c r="AA39" s="1">
        <v>-3.129941690670742</v>
      </c>
      <c r="AB39" s="1">
        <v>99.550101159183413</v>
      </c>
      <c r="AC39" s="1">
        <v>10.8725174773523</v>
      </c>
      <c r="AD39" s="1">
        <v>8.1999999999999993</v>
      </c>
      <c r="AE39" s="1">
        <v>3.7631223828585552</v>
      </c>
      <c r="AF39" s="1">
        <v>-1.6609688894801899</v>
      </c>
      <c r="AG39" s="1">
        <v>0</v>
      </c>
      <c r="AH39" s="1">
        <v>0.57319074522643354</v>
      </c>
      <c r="AI39" s="1">
        <v>0</v>
      </c>
      <c r="AJ39" s="1">
        <v>0</v>
      </c>
      <c r="AK39" s="1">
        <v>12.403202445139399</v>
      </c>
      <c r="AL39" s="1">
        <v>8.1999999999999993</v>
      </c>
      <c r="AM39" s="1">
        <v>0.62222472104577775</v>
      </c>
      <c r="AN39" s="1">
        <v>3.9189963799057188</v>
      </c>
      <c r="AO39" s="1">
        <v>0</v>
      </c>
      <c r="AP39" s="1">
        <v>-0.33559212720714438</v>
      </c>
      <c r="AQ39" s="1">
        <v>0</v>
      </c>
    </row>
    <row r="40" spans="1:43" ht="13" customHeight="1">
      <c r="A40" s="22">
        <v>41196</v>
      </c>
      <c r="B40" s="23">
        <v>0.20833333333333329</v>
      </c>
      <c r="C40" s="24">
        <v>8</v>
      </c>
      <c r="D40" s="24">
        <v>85.6</v>
      </c>
      <c r="E40" s="1">
        <v>0.3</v>
      </c>
      <c r="F40" s="24">
        <v>0</v>
      </c>
      <c r="G40" s="24">
        <v>0</v>
      </c>
      <c r="H40" s="24">
        <v>278.04239632146351</v>
      </c>
      <c r="I40" s="24">
        <v>345.18525346432062</v>
      </c>
      <c r="J40" s="25">
        <v>0.60899999999999999</v>
      </c>
      <c r="K40" s="25">
        <v>4.3999999999999997E-2</v>
      </c>
      <c r="L40" s="1">
        <v>0.6</v>
      </c>
      <c r="M40" s="1">
        <v>2</v>
      </c>
      <c r="O40" s="25">
        <v>0.97</v>
      </c>
      <c r="X40" s="1">
        <v>9.7924276559327712</v>
      </c>
      <c r="Y40" s="1">
        <v>7.0051630832726079</v>
      </c>
      <c r="Z40" s="1">
        <v>7.8934989360741774</v>
      </c>
      <c r="AA40" s="1">
        <v>-3.112948346488067</v>
      </c>
      <c r="AB40" s="1">
        <v>99.506532643422403</v>
      </c>
      <c r="AC40" s="1">
        <v>10.583297558281931</v>
      </c>
      <c r="AD40" s="1">
        <v>8</v>
      </c>
      <c r="AE40" s="1">
        <v>3.0900210306228169</v>
      </c>
      <c r="AF40" s="1">
        <v>-1.0218355474599381</v>
      </c>
      <c r="AG40" s="1">
        <v>0</v>
      </c>
      <c r="AH40" s="1">
        <v>0.51809298384580482</v>
      </c>
      <c r="AI40" s="1">
        <v>0</v>
      </c>
      <c r="AJ40" s="1">
        <v>0</v>
      </c>
      <c r="AK40" s="1">
        <v>12.12447633819837</v>
      </c>
      <c r="AL40" s="1">
        <v>8</v>
      </c>
      <c r="AM40" s="1">
        <v>4.9904238150654062E-2</v>
      </c>
      <c r="AN40" s="1">
        <v>4.4519244453855267</v>
      </c>
      <c r="AO40" s="1">
        <v>0</v>
      </c>
      <c r="AP40" s="1">
        <v>-0.37479126881730379</v>
      </c>
      <c r="AQ40" s="1">
        <v>0</v>
      </c>
    </row>
    <row r="41" spans="1:43" ht="13" customHeight="1">
      <c r="A41" s="22">
        <v>41196</v>
      </c>
      <c r="B41" s="23">
        <v>0.21527777777777779</v>
      </c>
      <c r="C41" s="24">
        <v>7.9</v>
      </c>
      <c r="D41" s="24">
        <v>86.2</v>
      </c>
      <c r="E41" s="1">
        <v>0.3</v>
      </c>
      <c r="F41" s="24">
        <v>1.428571428571429</v>
      </c>
      <c r="G41" s="24">
        <v>0</v>
      </c>
      <c r="H41" s="24">
        <v>278.04239632146351</v>
      </c>
      <c r="I41" s="24">
        <v>342.32811060717768</v>
      </c>
      <c r="J41" s="25">
        <v>0.60899999999999999</v>
      </c>
      <c r="K41" s="25">
        <v>4.3999999999999997E-2</v>
      </c>
      <c r="L41" s="1">
        <v>0.6</v>
      </c>
      <c r="M41" s="1">
        <v>2</v>
      </c>
      <c r="O41" s="25">
        <v>0.97</v>
      </c>
      <c r="X41" s="1">
        <v>9.69013639666926</v>
      </c>
      <c r="Y41" s="1">
        <v>6.9429486832726104</v>
      </c>
      <c r="Z41" s="1">
        <v>7.7259221545213324</v>
      </c>
      <c r="AA41" s="1">
        <v>-3.1437491285474439</v>
      </c>
      <c r="AB41" s="1">
        <v>99.583040947887014</v>
      </c>
      <c r="AC41" s="1">
        <v>10.417556139040791</v>
      </c>
      <c r="AD41" s="1">
        <v>7.9000000000000012</v>
      </c>
      <c r="AE41" s="1">
        <v>3.094478833786368</v>
      </c>
      <c r="AF41" s="1">
        <v>-1.0936398807305461</v>
      </c>
      <c r="AG41" s="1">
        <v>0</v>
      </c>
      <c r="AH41" s="1">
        <v>0.51974870932803208</v>
      </c>
      <c r="AI41" s="1">
        <v>0</v>
      </c>
      <c r="AJ41" s="1">
        <v>0</v>
      </c>
      <c r="AK41" s="1">
        <v>11.981285271512681</v>
      </c>
      <c r="AL41" s="1">
        <v>7.9</v>
      </c>
      <c r="AM41" s="1">
        <v>4.6319060258895983E-2</v>
      </c>
      <c r="AN41" s="1">
        <v>4.4082381409915401</v>
      </c>
      <c r="AO41" s="1">
        <v>0</v>
      </c>
      <c r="AP41" s="1">
        <v>-0.37066877169787549</v>
      </c>
      <c r="AQ41" s="1">
        <v>0</v>
      </c>
    </row>
    <row r="42" spans="1:43" ht="13" customHeight="1">
      <c r="A42" s="22">
        <v>41196</v>
      </c>
      <c r="B42" s="23">
        <v>0.22222222222222221</v>
      </c>
      <c r="C42" s="24">
        <v>8.1</v>
      </c>
      <c r="D42" s="24">
        <v>86.9</v>
      </c>
      <c r="E42" s="1">
        <v>0.3</v>
      </c>
      <c r="F42" s="24">
        <v>0</v>
      </c>
      <c r="G42" s="24">
        <v>0</v>
      </c>
      <c r="H42" s="24">
        <v>280.89953917860629</v>
      </c>
      <c r="I42" s="24">
        <v>342.32811060717768</v>
      </c>
      <c r="J42" s="25">
        <v>0.60899999999999999</v>
      </c>
      <c r="K42" s="25">
        <v>4.3999999999999997E-2</v>
      </c>
      <c r="L42" s="1">
        <v>0.6</v>
      </c>
      <c r="M42" s="1">
        <v>2</v>
      </c>
      <c r="O42" s="25">
        <v>0.97</v>
      </c>
      <c r="X42" s="1">
        <v>9.8947189151962842</v>
      </c>
      <c r="Y42" s="1">
        <v>7.1830258832726077</v>
      </c>
      <c r="Z42" s="1">
        <v>7.981243150251073</v>
      </c>
      <c r="AA42" s="1">
        <v>-3.0945854050869732</v>
      </c>
      <c r="AB42" s="1">
        <v>99.455464220782247</v>
      </c>
      <c r="AC42" s="1">
        <v>10.644103417740849</v>
      </c>
      <c r="AD42" s="1">
        <v>8.1</v>
      </c>
      <c r="AE42" s="1">
        <v>3.079365413276284</v>
      </c>
      <c r="AF42" s="1">
        <v>-1.0582648192759521</v>
      </c>
      <c r="AG42" s="1">
        <v>0</v>
      </c>
      <c r="AH42" s="1">
        <v>0.52596164291624437</v>
      </c>
      <c r="AI42" s="1">
        <v>0</v>
      </c>
      <c r="AJ42" s="1">
        <v>0</v>
      </c>
      <c r="AK42" s="1">
        <v>12.179390354918709</v>
      </c>
      <c r="AL42" s="1">
        <v>8.1</v>
      </c>
      <c r="AM42" s="1">
        <v>5.0109066456252342E-2</v>
      </c>
      <c r="AN42" s="1">
        <v>4.4011845319363267</v>
      </c>
      <c r="AO42" s="1">
        <v>0</v>
      </c>
      <c r="AP42" s="1">
        <v>-0.36936100348867151</v>
      </c>
      <c r="AQ42" s="1">
        <v>0</v>
      </c>
    </row>
    <row r="43" spans="1:43" ht="13" customHeight="1">
      <c r="A43" s="22">
        <v>41196</v>
      </c>
      <c r="B43" s="23">
        <v>0.22916666666666671</v>
      </c>
      <c r="C43" s="24">
        <v>7.9</v>
      </c>
      <c r="D43" s="24">
        <v>87.2</v>
      </c>
      <c r="E43" s="1">
        <v>0.3</v>
      </c>
      <c r="F43" s="24">
        <v>0</v>
      </c>
      <c r="G43" s="24">
        <v>0</v>
      </c>
      <c r="H43" s="24">
        <v>283.26571315004662</v>
      </c>
      <c r="I43" s="24">
        <v>343.26571315004662</v>
      </c>
      <c r="J43" s="25">
        <v>0.60899999999999999</v>
      </c>
      <c r="K43" s="25">
        <v>4.3999999999999997E-2</v>
      </c>
      <c r="L43" s="1">
        <v>0.6</v>
      </c>
      <c r="M43" s="1">
        <v>2</v>
      </c>
      <c r="O43" s="25">
        <v>0.97</v>
      </c>
      <c r="X43" s="1">
        <v>9.69013639666926</v>
      </c>
      <c r="Y43" s="1">
        <v>7.0034166832726061</v>
      </c>
      <c r="Z43" s="1">
        <v>8.0075215838673017</v>
      </c>
      <c r="AA43" s="1">
        <v>-3.1079635383633679</v>
      </c>
      <c r="AB43" s="1">
        <v>99.49309015217959</v>
      </c>
      <c r="AC43" s="1">
        <v>10.669929697412069</v>
      </c>
      <c r="AD43" s="1">
        <v>7.9</v>
      </c>
      <c r="AE43" s="1">
        <v>3.1110183900254209</v>
      </c>
      <c r="AF43" s="1">
        <v>-0.85958767921564072</v>
      </c>
      <c r="AG43" s="1">
        <v>0</v>
      </c>
      <c r="AH43" s="1">
        <v>0.52145459463485833</v>
      </c>
      <c r="AI43" s="1">
        <v>0</v>
      </c>
      <c r="AJ43" s="1">
        <v>0</v>
      </c>
      <c r="AK43" s="1">
        <v>12.19588341898182</v>
      </c>
      <c r="AL43" s="1">
        <v>7.9</v>
      </c>
      <c r="AM43" s="1">
        <v>5.3756908285644368E-2</v>
      </c>
      <c r="AN43" s="1">
        <v>4.6177309257169084</v>
      </c>
      <c r="AO43" s="1">
        <v>0</v>
      </c>
      <c r="AP43" s="1">
        <v>-0.3730637682256232</v>
      </c>
      <c r="AQ43" s="1">
        <v>0</v>
      </c>
    </row>
    <row r="44" spans="1:43" ht="13" customHeight="1">
      <c r="A44" s="22">
        <v>41196</v>
      </c>
      <c r="B44" s="23">
        <v>0.2361111111111111</v>
      </c>
      <c r="C44" s="24">
        <v>7.8</v>
      </c>
      <c r="D44" s="24">
        <v>87.8</v>
      </c>
      <c r="E44" s="1">
        <v>0.3</v>
      </c>
      <c r="F44" s="24">
        <v>0</v>
      </c>
      <c r="G44" s="24">
        <v>0</v>
      </c>
      <c r="H44" s="24">
        <v>285.18525346432062</v>
      </c>
      <c r="I44" s="24">
        <v>342.32811060717768</v>
      </c>
      <c r="J44" s="25">
        <v>0.60899999999999999</v>
      </c>
      <c r="K44" s="25">
        <v>4.3999999999999997E-2</v>
      </c>
      <c r="L44" s="1">
        <v>0.6</v>
      </c>
      <c r="M44" s="1">
        <v>2</v>
      </c>
      <c r="O44" s="25">
        <v>0.97</v>
      </c>
      <c r="X44" s="1">
        <v>9.5878451374057505</v>
      </c>
      <c r="Y44" s="1">
        <v>6.9405598832726074</v>
      </c>
      <c r="Z44" s="1">
        <v>8.0019355855938272</v>
      </c>
      <c r="AA44" s="1">
        <v>-3.1175680902812921</v>
      </c>
      <c r="AB44" s="1">
        <v>99.518718474028447</v>
      </c>
      <c r="AC44" s="1">
        <v>10.65824039996893</v>
      </c>
      <c r="AD44" s="1">
        <v>7.8</v>
      </c>
      <c r="AE44" s="1">
        <v>3.125366988012662</v>
      </c>
      <c r="AF44" s="1">
        <v>-0.78559660411343013</v>
      </c>
      <c r="AG44" s="1">
        <v>0</v>
      </c>
      <c r="AH44" s="1">
        <v>0.521430812838102</v>
      </c>
      <c r="AI44" s="1">
        <v>0</v>
      </c>
      <c r="AJ44" s="1">
        <v>0</v>
      </c>
      <c r="AK44" s="1">
        <v>12.18340894941332</v>
      </c>
      <c r="AL44" s="1">
        <v>7.8</v>
      </c>
      <c r="AM44" s="1">
        <v>5.4801036414254822E-2</v>
      </c>
      <c r="AN44" s="1">
        <v>4.7038244676666592</v>
      </c>
      <c r="AO44" s="1">
        <v>0</v>
      </c>
      <c r="AP44" s="1">
        <v>-0.37267115228649311</v>
      </c>
      <c r="AQ44" s="1">
        <v>0</v>
      </c>
    </row>
    <row r="45" spans="1:43" ht="13" customHeight="1">
      <c r="A45" s="22">
        <v>41196</v>
      </c>
      <c r="B45" s="23">
        <v>0.24305555555555561</v>
      </c>
      <c r="C45" s="24">
        <v>7.7</v>
      </c>
      <c r="D45" s="24">
        <v>88.3</v>
      </c>
      <c r="E45" s="1">
        <v>0.3</v>
      </c>
      <c r="F45" s="24">
        <v>0</v>
      </c>
      <c r="G45" s="24">
        <v>0</v>
      </c>
      <c r="H45" s="24">
        <v>286.61382489289201</v>
      </c>
      <c r="I45" s="24">
        <v>340.89953917860629</v>
      </c>
      <c r="J45" s="25">
        <v>0.60899999999999999</v>
      </c>
      <c r="K45" s="25">
        <v>4.3999999999999997E-2</v>
      </c>
      <c r="L45" s="1">
        <v>0.6</v>
      </c>
      <c r="M45" s="1">
        <v>2</v>
      </c>
      <c r="O45" s="25">
        <v>0.97</v>
      </c>
      <c r="X45" s="1">
        <v>9.4855538781422357</v>
      </c>
      <c r="Y45" s="1">
        <v>6.8713642832726087</v>
      </c>
      <c r="Z45" s="1">
        <v>7.9527578585190044</v>
      </c>
      <c r="AA45" s="1">
        <v>-3.132777231165166</v>
      </c>
      <c r="AB45" s="1">
        <v>99.557041391927271</v>
      </c>
      <c r="AC45" s="1">
        <v>10.60663938759072</v>
      </c>
      <c r="AD45" s="1">
        <v>7.7</v>
      </c>
      <c r="AE45" s="1">
        <v>3.137109253737544</v>
      </c>
      <c r="AF45" s="1">
        <v>-0.74887126155427863</v>
      </c>
      <c r="AG45" s="1">
        <v>0</v>
      </c>
      <c r="AH45" s="1">
        <v>0.52137937081849239</v>
      </c>
      <c r="AI45" s="1">
        <v>0</v>
      </c>
      <c r="AJ45" s="1">
        <v>0</v>
      </c>
      <c r="AK45" s="1">
        <v>12.136989936037789</v>
      </c>
      <c r="AL45" s="1">
        <v>7.7</v>
      </c>
      <c r="AM45" s="1">
        <v>5.4652814766572258E-2</v>
      </c>
      <c r="AN45" s="1">
        <v>4.7565908987845624</v>
      </c>
      <c r="AO45" s="1">
        <v>0</v>
      </c>
      <c r="AP45" s="1">
        <v>-0.37169373823785368</v>
      </c>
      <c r="AQ45" s="1">
        <v>0</v>
      </c>
    </row>
    <row r="46" spans="1:43" ht="13" customHeight="1">
      <c r="A46" s="22">
        <v>41196</v>
      </c>
      <c r="B46" s="23">
        <v>0.25</v>
      </c>
      <c r="C46" s="24">
        <v>7.9</v>
      </c>
      <c r="D46" s="24">
        <v>88.8</v>
      </c>
      <c r="E46" s="1">
        <v>0.3</v>
      </c>
      <c r="F46" s="24">
        <v>2.8571428571428572</v>
      </c>
      <c r="G46" s="24">
        <v>4.2857142857142856</v>
      </c>
      <c r="H46" s="24">
        <v>288.08990515635452</v>
      </c>
      <c r="I46" s="24">
        <v>339.51847658492602</v>
      </c>
      <c r="J46" s="25">
        <v>0.60899999999999999</v>
      </c>
      <c r="K46" s="25">
        <v>4.3999999999999997E-2</v>
      </c>
      <c r="L46" s="1">
        <v>0.6</v>
      </c>
      <c r="M46" s="1">
        <v>2</v>
      </c>
      <c r="O46" s="25">
        <v>0.97</v>
      </c>
      <c r="X46" s="1">
        <v>9.69013639666926</v>
      </c>
      <c r="Y46" s="1">
        <v>7.1001654832726082</v>
      </c>
      <c r="Z46" s="1">
        <v>8.0871001377589309</v>
      </c>
      <c r="AA46" s="1">
        <v>-3.0992241205347111</v>
      </c>
      <c r="AB46" s="1">
        <v>99.468770442089237</v>
      </c>
      <c r="AC46" s="1">
        <v>10.721274598154571</v>
      </c>
      <c r="AD46" s="1">
        <v>7.9</v>
      </c>
      <c r="AE46" s="1">
        <v>3.1147919745586599</v>
      </c>
      <c r="AF46" s="1">
        <v>-0.81849255780063046</v>
      </c>
      <c r="AG46" s="1">
        <v>0</v>
      </c>
      <c r="AH46" s="1">
        <v>0.52791350170400519</v>
      </c>
      <c r="AI46" s="1">
        <v>0</v>
      </c>
      <c r="AJ46" s="1">
        <v>0</v>
      </c>
      <c r="AK46" s="1">
        <v>12.24012166529562</v>
      </c>
      <c r="AL46" s="1">
        <v>7.9</v>
      </c>
      <c r="AM46" s="1">
        <v>5.5103287247133093E-2</v>
      </c>
      <c r="AN46" s="1">
        <v>4.6559835940827234</v>
      </c>
      <c r="AO46" s="1">
        <v>0</v>
      </c>
      <c r="AP46" s="1">
        <v>-0.36843895659729381</v>
      </c>
      <c r="AQ46" s="1">
        <v>0</v>
      </c>
    </row>
    <row r="47" spans="1:43" ht="13" customHeight="1">
      <c r="A47" s="22">
        <v>41196</v>
      </c>
      <c r="B47" s="23">
        <v>0.25694444444444442</v>
      </c>
      <c r="C47" s="24">
        <v>8.1</v>
      </c>
      <c r="D47" s="24">
        <v>87.8</v>
      </c>
      <c r="E47" s="1">
        <v>0.3</v>
      </c>
      <c r="F47" s="24">
        <v>10</v>
      </c>
      <c r="G47" s="24">
        <v>7.1428571428571432</v>
      </c>
      <c r="H47" s="24">
        <v>290.94704801349741</v>
      </c>
      <c r="I47" s="24">
        <v>343.80419087064018</v>
      </c>
      <c r="J47" s="25">
        <v>0.60899999999999999</v>
      </c>
      <c r="K47" s="25">
        <v>4.3999999999999997E-2</v>
      </c>
      <c r="L47" s="1">
        <v>0.6</v>
      </c>
      <c r="M47" s="1">
        <v>2</v>
      </c>
      <c r="O47" s="25">
        <v>0.97</v>
      </c>
      <c r="X47" s="1">
        <v>9.8947189151962842</v>
      </c>
      <c r="Y47" s="1">
        <v>7.313706983272608</v>
      </c>
      <c r="Z47" s="1">
        <v>9.0240831261949985</v>
      </c>
      <c r="AA47" s="1">
        <v>-2.9492044300651039</v>
      </c>
      <c r="AB47" s="1">
        <v>98.870224982312465</v>
      </c>
      <c r="AC47" s="1">
        <v>11.35807441183756</v>
      </c>
      <c r="AD47" s="1">
        <v>8.1</v>
      </c>
      <c r="AE47" s="1">
        <v>3.0051876209714901</v>
      </c>
      <c r="AF47" s="1">
        <v>-0.61456979350807761</v>
      </c>
      <c r="AG47" s="1">
        <v>0.36986336570330192</v>
      </c>
      <c r="AH47" s="1">
        <v>0.50044643981550019</v>
      </c>
      <c r="AI47" s="1">
        <v>0</v>
      </c>
      <c r="AJ47" s="1">
        <v>0</v>
      </c>
      <c r="AK47" s="1">
        <v>12.38026292713349</v>
      </c>
      <c r="AL47" s="1">
        <v>8.1</v>
      </c>
      <c r="AM47" s="1">
        <v>0.25962055947581009</v>
      </c>
      <c r="AN47" s="1">
        <v>4.0666853167586661</v>
      </c>
      <c r="AO47" s="1">
        <v>0.32772931192978799</v>
      </c>
      <c r="AP47" s="1">
        <v>-0.37124407281565691</v>
      </c>
      <c r="AQ47" s="1">
        <v>0</v>
      </c>
    </row>
    <row r="48" spans="1:43" ht="13" customHeight="1">
      <c r="A48" s="22">
        <v>41196</v>
      </c>
      <c r="B48" s="23">
        <v>0.2638888888888889</v>
      </c>
      <c r="C48" s="24">
        <v>8.1</v>
      </c>
      <c r="D48" s="24">
        <v>87.9</v>
      </c>
      <c r="E48" s="1">
        <v>0.2</v>
      </c>
      <c r="F48" s="24">
        <v>15.71428571428571</v>
      </c>
      <c r="G48" s="24">
        <v>7.1428571428571432</v>
      </c>
      <c r="H48" s="24">
        <v>292.86870533043219</v>
      </c>
      <c r="I48" s="24">
        <v>347.15441961614653</v>
      </c>
      <c r="J48" s="25">
        <v>0.60899999999999999</v>
      </c>
      <c r="K48" s="25">
        <v>4.3999999999999997E-2</v>
      </c>
      <c r="L48" s="1">
        <v>0.6</v>
      </c>
      <c r="M48" s="1">
        <v>2</v>
      </c>
      <c r="O48" s="25">
        <v>0.97</v>
      </c>
      <c r="X48" s="1">
        <v>10.4135338379605</v>
      </c>
      <c r="Y48" s="1">
        <v>7.3666440317055493</v>
      </c>
      <c r="Z48" s="1">
        <v>9.567795124070992</v>
      </c>
      <c r="AA48" s="1">
        <v>-2.891991155398359</v>
      </c>
      <c r="AB48" s="1">
        <v>98.528883715664307</v>
      </c>
      <c r="AC48" s="1">
        <v>12.1811726202555</v>
      </c>
      <c r="AD48" s="1">
        <v>8.1</v>
      </c>
      <c r="AE48" s="1">
        <v>3.6676552434124079</v>
      </c>
      <c r="AF48" s="1">
        <v>-0.61651704225724047</v>
      </c>
      <c r="AG48" s="1">
        <v>0.49289318160308021</v>
      </c>
      <c r="AH48" s="1">
        <v>0.53972757462460119</v>
      </c>
      <c r="AI48" s="1">
        <v>0</v>
      </c>
      <c r="AJ48" s="1">
        <v>0</v>
      </c>
      <c r="AK48" s="1">
        <v>12.975987427400231</v>
      </c>
      <c r="AL48" s="1">
        <v>8.1</v>
      </c>
      <c r="AM48" s="1">
        <v>0.92253961492725156</v>
      </c>
      <c r="AN48" s="1">
        <v>3.854704464456622</v>
      </c>
      <c r="AO48" s="1">
        <v>0.4419223530697487</v>
      </c>
      <c r="AP48" s="1">
        <v>-0.34086012495597651</v>
      </c>
      <c r="AQ48" s="1">
        <v>0</v>
      </c>
    </row>
    <row r="49" spans="1:43" ht="13" customHeight="1">
      <c r="A49" s="22">
        <v>41196</v>
      </c>
      <c r="B49" s="23">
        <v>0.27083333333333331</v>
      </c>
      <c r="C49" s="24">
        <v>8.3000000000000007</v>
      </c>
      <c r="D49" s="24">
        <v>87.7</v>
      </c>
      <c r="E49" s="1">
        <v>0.2</v>
      </c>
      <c r="F49" s="24">
        <v>24.285714285714281</v>
      </c>
      <c r="G49" s="24">
        <v>8.5714285714285712</v>
      </c>
      <c r="H49" s="24">
        <v>292.9225742857675</v>
      </c>
      <c r="I49" s="24">
        <v>344.35114571433888</v>
      </c>
      <c r="J49" s="25">
        <v>0.60899999999999999</v>
      </c>
      <c r="K49" s="25">
        <v>4.3999999999999997E-2</v>
      </c>
      <c r="L49" s="1">
        <v>0.6</v>
      </c>
      <c r="M49" s="1">
        <v>2</v>
      </c>
      <c r="O49" s="25">
        <v>0.97</v>
      </c>
      <c r="X49" s="1">
        <v>10.61307342214722</v>
      </c>
      <c r="Y49" s="1">
        <v>7.6163937459912638</v>
      </c>
      <c r="Z49" s="1">
        <v>9.8752264914692578</v>
      </c>
      <c r="AA49" s="1">
        <v>-2.829691541472704</v>
      </c>
      <c r="AB49" s="1">
        <v>98.066449065178745</v>
      </c>
      <c r="AC49" s="1">
        <v>12.252587880322899</v>
      </c>
      <c r="AD49" s="1">
        <v>8.3000000000000007</v>
      </c>
      <c r="AE49" s="1">
        <v>3.5465253782738082</v>
      </c>
      <c r="AF49" s="1">
        <v>-0.80757962299695907</v>
      </c>
      <c r="AG49" s="1">
        <v>0.68647189846934487</v>
      </c>
      <c r="AH49" s="1">
        <v>0.52979585294742704</v>
      </c>
      <c r="AI49" s="1">
        <v>0</v>
      </c>
      <c r="AJ49" s="1">
        <v>0</v>
      </c>
      <c r="AK49" s="1">
        <v>12.811012240505541</v>
      </c>
      <c r="AL49" s="1">
        <v>8.3000000000000007</v>
      </c>
      <c r="AM49" s="1">
        <v>1.0155228557281559</v>
      </c>
      <c r="AN49" s="1">
        <v>3.2048081530547732</v>
      </c>
      <c r="AO49" s="1">
        <v>0.62558086960559323</v>
      </c>
      <c r="AP49" s="1">
        <v>-0.33250690828739748</v>
      </c>
      <c r="AQ49" s="1">
        <v>0</v>
      </c>
    </row>
    <row r="50" spans="1:43" ht="13" customHeight="1">
      <c r="A50" s="22">
        <v>41196</v>
      </c>
      <c r="B50" s="23">
        <v>0.27777777777777779</v>
      </c>
      <c r="C50" s="24">
        <v>8.6</v>
      </c>
      <c r="D50" s="24">
        <v>87.2</v>
      </c>
      <c r="E50" s="1">
        <v>0.2</v>
      </c>
      <c r="F50" s="24">
        <v>31.428571428571431</v>
      </c>
      <c r="G50" s="24">
        <v>10</v>
      </c>
      <c r="H50" s="24">
        <v>295.83836815939998</v>
      </c>
      <c r="I50" s="24">
        <v>344.40979673082859</v>
      </c>
      <c r="J50" s="25">
        <v>0.60899999999999999</v>
      </c>
      <c r="K50" s="25">
        <v>4.3999999999999997E-2</v>
      </c>
      <c r="L50" s="1">
        <v>0.6</v>
      </c>
      <c r="M50" s="1">
        <v>2</v>
      </c>
      <c r="O50" s="25">
        <v>0.97</v>
      </c>
      <c r="X50" s="1">
        <v>10.9123827984273</v>
      </c>
      <c r="Y50" s="1">
        <v>7.9350708745626921</v>
      </c>
      <c r="Z50" s="1">
        <v>10.41831686288578</v>
      </c>
      <c r="AA50" s="1">
        <v>-2.728499432282375</v>
      </c>
      <c r="AB50" s="1">
        <v>97.07493034058399</v>
      </c>
      <c r="AC50" s="1">
        <v>12.61274262439866</v>
      </c>
      <c r="AD50" s="1">
        <v>8.6</v>
      </c>
      <c r="AE50" s="1">
        <v>3.4478020964004621</v>
      </c>
      <c r="AF50" s="1">
        <v>-0.79530969016397246</v>
      </c>
      <c r="AG50" s="1">
        <v>0.8417422421048586</v>
      </c>
      <c r="AH50" s="1">
        <v>0.52106852385527613</v>
      </c>
      <c r="AI50" s="1">
        <v>0</v>
      </c>
      <c r="AJ50" s="1">
        <v>0</v>
      </c>
      <c r="AK50" s="1">
        <v>12.943589305286871</v>
      </c>
      <c r="AL50" s="1">
        <v>8.6</v>
      </c>
      <c r="AM50" s="1">
        <v>1.0997368430697561</v>
      </c>
      <c r="AN50" s="1">
        <v>2.799186742730897</v>
      </c>
      <c r="AO50" s="1">
        <v>0.7783950960186079</v>
      </c>
      <c r="AP50" s="1">
        <v>-0.33136152833724508</v>
      </c>
      <c r="AQ50" s="1">
        <v>0</v>
      </c>
    </row>
    <row r="51" spans="1:43" ht="13" customHeight="1">
      <c r="A51" s="22">
        <v>41196</v>
      </c>
      <c r="B51" s="23">
        <v>0.28472222222222221</v>
      </c>
      <c r="C51" s="24">
        <v>8.6</v>
      </c>
      <c r="D51" s="24">
        <v>87.9</v>
      </c>
      <c r="E51" s="1">
        <v>0.1</v>
      </c>
      <c r="F51" s="24">
        <v>44.285714285714278</v>
      </c>
      <c r="G51" s="24">
        <v>12.857142857142859</v>
      </c>
      <c r="H51" s="24">
        <v>292.11450222429738</v>
      </c>
      <c r="I51" s="24">
        <v>346.40021651001177</v>
      </c>
      <c r="J51" s="25">
        <v>0.60899999999999999</v>
      </c>
      <c r="K51" s="25">
        <v>4.3999999999999997E-2</v>
      </c>
      <c r="L51" s="1">
        <v>0.6</v>
      </c>
      <c r="M51" s="1">
        <v>2</v>
      </c>
      <c r="O51" s="25">
        <v>0.97</v>
      </c>
      <c r="X51" s="1">
        <v>11.705207755977661</v>
      </c>
      <c r="Y51" s="1">
        <v>8.0763160515670602</v>
      </c>
      <c r="Z51" s="1">
        <v>10.97261358729345</v>
      </c>
      <c r="AA51" s="1">
        <v>-2.6648290828178571</v>
      </c>
      <c r="AB51" s="1">
        <v>96.272910793770691</v>
      </c>
      <c r="AC51" s="1">
        <v>13.141855819525791</v>
      </c>
      <c r="AD51" s="1">
        <v>8.6</v>
      </c>
      <c r="AE51" s="1">
        <v>3.9781911620483621</v>
      </c>
      <c r="AF51" s="1">
        <v>-1.1204796797145991</v>
      </c>
      <c r="AG51" s="1">
        <v>1.1283432067500749</v>
      </c>
      <c r="AH51" s="1">
        <v>0.55825616648353149</v>
      </c>
      <c r="AI51" s="1">
        <v>0</v>
      </c>
      <c r="AJ51" s="1">
        <v>0</v>
      </c>
      <c r="AK51" s="1">
        <v>13.06268227092542</v>
      </c>
      <c r="AL51" s="1">
        <v>8.6</v>
      </c>
      <c r="AM51" s="1">
        <v>1.8828513344762541</v>
      </c>
      <c r="AN51" s="1">
        <v>1.7857387865988661</v>
      </c>
      <c r="AO51" s="1">
        <v>1.0726607147619991</v>
      </c>
      <c r="AP51" s="1">
        <v>-0.27623468218969449</v>
      </c>
      <c r="AQ51" s="1">
        <v>0</v>
      </c>
    </row>
    <row r="52" spans="1:43" ht="13" customHeight="1">
      <c r="A52" s="22">
        <v>41196</v>
      </c>
      <c r="B52" s="23">
        <v>0.29166666666666669</v>
      </c>
      <c r="C52" s="24">
        <v>9.3000000000000007</v>
      </c>
      <c r="D52" s="24">
        <v>86.2</v>
      </c>
      <c r="E52" s="1">
        <v>0.2</v>
      </c>
      <c r="F52" s="24">
        <v>112.8571428571429</v>
      </c>
      <c r="G52" s="24">
        <v>20</v>
      </c>
      <c r="H52" s="24">
        <v>295.05239413318918</v>
      </c>
      <c r="I52" s="24">
        <v>352.19525127604629</v>
      </c>
      <c r="J52" s="25">
        <v>0.60899999999999999</v>
      </c>
      <c r="K52" s="25">
        <v>4.3999999999999997E-2</v>
      </c>
      <c r="L52" s="1">
        <v>0.6</v>
      </c>
      <c r="M52" s="1">
        <v>2</v>
      </c>
      <c r="O52" s="25">
        <v>0.97</v>
      </c>
      <c r="X52" s="1">
        <v>11.61077134308082</v>
      </c>
      <c r="Y52" s="1">
        <v>9.1301158602769785</v>
      </c>
      <c r="Z52" s="1">
        <v>13.749155326912129</v>
      </c>
      <c r="AA52" s="1">
        <v>-2.2323668015002842</v>
      </c>
      <c r="AB52" s="1">
        <v>86.05296698583048</v>
      </c>
      <c r="AC52" s="1">
        <v>13.97471377692262</v>
      </c>
      <c r="AD52" s="1">
        <v>9.3000000000000007</v>
      </c>
      <c r="AE52" s="1">
        <v>2.7710465227675138</v>
      </c>
      <c r="AF52" s="1">
        <v>-0.60345971169257528</v>
      </c>
      <c r="AG52" s="1">
        <v>2.081331817655081</v>
      </c>
      <c r="AH52" s="1">
        <v>0.4283639097974255</v>
      </c>
      <c r="AI52" s="1">
        <v>0</v>
      </c>
      <c r="AJ52" s="1">
        <v>0</v>
      </c>
      <c r="AK52" s="1">
        <v>12.47761130092815</v>
      </c>
      <c r="AL52" s="1">
        <v>9.3000000000000007</v>
      </c>
      <c r="AM52" s="1">
        <v>1.882310960346133</v>
      </c>
      <c r="AN52" s="1">
        <v>-0.59254749156401276</v>
      </c>
      <c r="AO52" s="1">
        <v>2.195441166509148</v>
      </c>
      <c r="AP52" s="1">
        <v>-0.30488373999400931</v>
      </c>
      <c r="AQ52" s="1">
        <v>0</v>
      </c>
    </row>
    <row r="53" spans="1:43" ht="13" customHeight="1">
      <c r="A53" s="22">
        <v>41196</v>
      </c>
      <c r="B53" s="23">
        <v>0.2986111111111111</v>
      </c>
      <c r="C53" s="24">
        <v>10.199999999999999</v>
      </c>
      <c r="D53" s="24">
        <v>83.4</v>
      </c>
      <c r="E53" s="1">
        <v>0.2</v>
      </c>
      <c r="F53" s="24">
        <v>152.85714285714289</v>
      </c>
      <c r="G53" s="24">
        <v>22.857142857142861</v>
      </c>
      <c r="H53" s="24">
        <v>283.27284427068219</v>
      </c>
      <c r="I53" s="24">
        <v>354.70141569925357</v>
      </c>
      <c r="J53" s="25">
        <v>0.60899999999999999</v>
      </c>
      <c r="K53" s="25">
        <v>4.3999999999999997E-2</v>
      </c>
      <c r="L53" s="1">
        <v>0.6</v>
      </c>
      <c r="M53" s="1">
        <v>2</v>
      </c>
      <c r="O53" s="25">
        <v>0.97</v>
      </c>
      <c r="X53" s="1">
        <v>12.50869947192106</v>
      </c>
      <c r="Y53" s="1">
        <v>10.08635986027697</v>
      </c>
      <c r="Z53" s="1">
        <v>15.0495752880715</v>
      </c>
      <c r="AA53" s="1">
        <v>-2.0067391089951792</v>
      </c>
      <c r="AB53" s="1">
        <v>77.065421158276649</v>
      </c>
      <c r="AC53" s="1">
        <v>13.92670669069966</v>
      </c>
      <c r="AD53" s="1">
        <v>10.199999999999999</v>
      </c>
      <c r="AE53" s="1">
        <v>2.4046254578997059</v>
      </c>
      <c r="AF53" s="1">
        <v>-1.571338512292747</v>
      </c>
      <c r="AG53" s="1">
        <v>2.4894226324899851</v>
      </c>
      <c r="AH53" s="1">
        <v>0.40671893389651409</v>
      </c>
      <c r="AI53" s="1">
        <v>0</v>
      </c>
      <c r="AJ53" s="1">
        <v>0</v>
      </c>
      <c r="AK53" s="1">
        <v>11.79763219177778</v>
      </c>
      <c r="AL53" s="1">
        <v>10.199999999999999</v>
      </c>
      <c r="AM53" s="1">
        <v>2.0416702138486058</v>
      </c>
      <c r="AN53" s="1">
        <v>-2.9190368048638771</v>
      </c>
      <c r="AO53" s="1">
        <v>2.755026812402404</v>
      </c>
      <c r="AP53" s="1">
        <v>-0.27701580880599919</v>
      </c>
      <c r="AQ53" s="1">
        <v>0</v>
      </c>
    </row>
    <row r="54" spans="1:43" ht="13" customHeight="1">
      <c r="A54" s="22">
        <v>41196</v>
      </c>
      <c r="B54" s="23">
        <v>0.30555555555555558</v>
      </c>
      <c r="C54" s="24">
        <v>11.7</v>
      </c>
      <c r="D54" s="24">
        <v>74.7</v>
      </c>
      <c r="E54" s="1">
        <v>0.3</v>
      </c>
      <c r="F54" s="24">
        <v>180</v>
      </c>
      <c r="G54" s="24">
        <v>22.857142857142861</v>
      </c>
      <c r="H54" s="24">
        <v>278.93119346966591</v>
      </c>
      <c r="I54" s="24">
        <v>361.78833632680869</v>
      </c>
      <c r="J54" s="25">
        <v>0.60899999999999999</v>
      </c>
      <c r="K54" s="25">
        <v>4.3999999999999997E-2</v>
      </c>
      <c r="L54" s="1">
        <v>0.6</v>
      </c>
      <c r="M54" s="1">
        <v>2</v>
      </c>
      <c r="O54" s="25">
        <v>0.97</v>
      </c>
      <c r="X54" s="1">
        <v>13.57720424868269</v>
      </c>
      <c r="Y54" s="1">
        <v>11.09321108327261</v>
      </c>
      <c r="Z54" s="1">
        <v>16.333934214246192</v>
      </c>
      <c r="AA54" s="1">
        <v>-1.6984291563688341</v>
      </c>
      <c r="AB54" s="1">
        <v>61.667547514061297</v>
      </c>
      <c r="AC54" s="1">
        <v>14.4831018406149</v>
      </c>
      <c r="AD54" s="1">
        <v>11.7</v>
      </c>
      <c r="AE54" s="1">
        <v>1.8031666453522059</v>
      </c>
      <c r="AF54" s="1">
        <v>-2.0442306197158291</v>
      </c>
      <c r="AG54" s="1">
        <v>2.680275720587233</v>
      </c>
      <c r="AH54" s="1">
        <v>0.34650032301207978</v>
      </c>
      <c r="AI54" s="1">
        <v>0</v>
      </c>
      <c r="AJ54" s="1">
        <v>0</v>
      </c>
      <c r="AK54" s="1">
        <v>12.05875355804074</v>
      </c>
      <c r="AL54" s="1">
        <v>11.7</v>
      </c>
      <c r="AM54" s="1">
        <v>1.6401277297625141</v>
      </c>
      <c r="AN54" s="1">
        <v>-3.9857580697948038</v>
      </c>
      <c r="AO54" s="1">
        <v>3.0385349812854261</v>
      </c>
      <c r="AP54" s="1">
        <v>-0.33119195818231489</v>
      </c>
      <c r="AQ54" s="1">
        <v>0</v>
      </c>
    </row>
    <row r="55" spans="1:43" ht="13" customHeight="1">
      <c r="A55" s="22">
        <v>41196</v>
      </c>
      <c r="B55" s="23">
        <v>0.3125</v>
      </c>
      <c r="C55" s="24">
        <v>13</v>
      </c>
      <c r="D55" s="24">
        <v>69.5</v>
      </c>
      <c r="E55" s="1">
        <v>0.3</v>
      </c>
      <c r="F55" s="24">
        <v>208.57142857142861</v>
      </c>
      <c r="G55" s="24">
        <v>21.428571428571431</v>
      </c>
      <c r="H55" s="24">
        <v>277.9983199359549</v>
      </c>
      <c r="I55" s="24">
        <v>363.71260565024062</v>
      </c>
      <c r="J55" s="25">
        <v>0.60899999999999999</v>
      </c>
      <c r="K55" s="25">
        <v>4.3999999999999997E-2</v>
      </c>
      <c r="L55" s="1">
        <v>0.6</v>
      </c>
      <c r="M55" s="1">
        <v>2</v>
      </c>
      <c r="O55" s="25">
        <v>0.97</v>
      </c>
      <c r="X55" s="1">
        <v>14.90699061910834</v>
      </c>
      <c r="Y55" s="1">
        <v>12.10749399755832</v>
      </c>
      <c r="Z55" s="1">
        <v>17.617681397652049</v>
      </c>
      <c r="AA55" s="1">
        <v>-1.4207605673626409</v>
      </c>
      <c r="AB55" s="1">
        <v>46.621307907220363</v>
      </c>
      <c r="AC55" s="1">
        <v>15.03301020985578</v>
      </c>
      <c r="AD55" s="1">
        <v>13</v>
      </c>
      <c r="AE55" s="1">
        <v>1.608746964735994</v>
      </c>
      <c r="AF55" s="1">
        <v>-2.780339603196639</v>
      </c>
      <c r="AG55" s="1">
        <v>2.8738871514232271</v>
      </c>
      <c r="AH55" s="1">
        <v>0.33319783641638218</v>
      </c>
      <c r="AI55" s="1">
        <v>0</v>
      </c>
      <c r="AJ55" s="1">
        <v>0</v>
      </c>
      <c r="AK55" s="1">
        <v>12.303828985306421</v>
      </c>
      <c r="AL55" s="1">
        <v>13</v>
      </c>
      <c r="AM55" s="1">
        <v>1.6640830914265561</v>
      </c>
      <c r="AN55" s="1">
        <v>-5.3665169615250674</v>
      </c>
      <c r="AO55" s="1">
        <v>3.342551522559924</v>
      </c>
      <c r="AP55" s="1">
        <v>-0.3334017482176268</v>
      </c>
      <c r="AQ55" s="1">
        <v>0</v>
      </c>
    </row>
    <row r="56" spans="1:43" ht="13" customHeight="1">
      <c r="A56" s="22" t="s">
        <v>63</v>
      </c>
      <c r="B56" s="23">
        <v>0.31944444444444442</v>
      </c>
      <c r="C56" s="24">
        <v>14</v>
      </c>
      <c r="D56" s="24">
        <v>65.7</v>
      </c>
      <c r="E56" s="1">
        <v>0.2</v>
      </c>
      <c r="F56" s="24">
        <v>241.42857142857139</v>
      </c>
      <c r="G56" s="24">
        <v>18.571428571428569</v>
      </c>
      <c r="H56" s="24">
        <v>282.39465504151468</v>
      </c>
      <c r="I56" s="24">
        <v>369.53751218437191</v>
      </c>
      <c r="J56" s="25">
        <v>0.60899999999999999</v>
      </c>
      <c r="K56" s="25">
        <v>4.3999999999999997E-2</v>
      </c>
      <c r="L56" s="1">
        <v>0.6</v>
      </c>
      <c r="M56" s="1">
        <v>2</v>
      </c>
      <c r="O56" s="25">
        <v>0.97</v>
      </c>
      <c r="W56" s="1" t="s">
        <v>64</v>
      </c>
    </row>
    <row r="57" spans="1:43" ht="13" customHeight="1">
      <c r="A57" s="22">
        <v>41196</v>
      </c>
      <c r="C57" s="24">
        <v>14.9</v>
      </c>
      <c r="D57" s="24">
        <v>63.2</v>
      </c>
      <c r="E57" s="1">
        <v>0.3</v>
      </c>
      <c r="F57" s="24">
        <v>275.71428571428572</v>
      </c>
      <c r="G57" s="24">
        <v>21.428571428571431</v>
      </c>
      <c r="H57" s="24">
        <v>282.96783346627518</v>
      </c>
      <c r="I57" s="24">
        <v>374.39640489484663</v>
      </c>
      <c r="J57" s="25">
        <v>0.60899999999999999</v>
      </c>
      <c r="K57" s="25">
        <v>4.3999999999999997E-2</v>
      </c>
      <c r="L57" s="1">
        <v>0.6</v>
      </c>
      <c r="M57" s="1">
        <v>2</v>
      </c>
      <c r="O57" s="25">
        <v>0.97</v>
      </c>
      <c r="W57" s="1" t="s">
        <v>65</v>
      </c>
    </row>
    <row r="58" spans="1:43" ht="13" customHeight="1">
      <c r="A58" s="22">
        <v>41196</v>
      </c>
      <c r="B58" s="23">
        <v>0.33333333333333331</v>
      </c>
      <c r="D58" s="24">
        <v>60.4</v>
      </c>
      <c r="E58" s="1">
        <v>0.2</v>
      </c>
      <c r="F58" s="24">
        <v>307.14285714285722</v>
      </c>
      <c r="G58" s="24">
        <v>22.857142857142861</v>
      </c>
      <c r="H58" s="24">
        <v>285.94765312804179</v>
      </c>
      <c r="I58" s="24">
        <v>380.23336741375613</v>
      </c>
      <c r="J58" s="25">
        <v>0.60899999999999999</v>
      </c>
      <c r="K58" s="25">
        <v>4.3999999999999997E-2</v>
      </c>
      <c r="L58" s="1">
        <v>0.6</v>
      </c>
      <c r="M58" s="1">
        <v>2</v>
      </c>
      <c r="O58" s="25">
        <v>0.97</v>
      </c>
      <c r="W58" s="1" t="s">
        <v>56</v>
      </c>
    </row>
    <row r="59" spans="1:43" ht="13" customHeight="1">
      <c r="A59" s="22">
        <v>41196</v>
      </c>
      <c r="B59" s="23">
        <v>0.34027777777777779</v>
      </c>
      <c r="C59" s="24">
        <v>16.600000000000001</v>
      </c>
      <c r="E59" s="1">
        <v>0.3</v>
      </c>
      <c r="F59" s="24">
        <v>338.57142857142861</v>
      </c>
      <c r="G59" s="24">
        <v>27.142857142857139</v>
      </c>
      <c r="H59" s="24">
        <v>285.02891529249382</v>
      </c>
      <c r="I59" s="24">
        <v>383.60034386392238</v>
      </c>
      <c r="J59" s="25">
        <v>0.60899999999999999</v>
      </c>
      <c r="K59" s="25">
        <v>4.3999999999999997E-2</v>
      </c>
      <c r="L59" s="1">
        <v>0.6</v>
      </c>
      <c r="M59" s="1">
        <v>2</v>
      </c>
      <c r="O59" s="25">
        <v>0.97</v>
      </c>
      <c r="W59" s="1" t="s">
        <v>57</v>
      </c>
    </row>
    <row r="60" spans="1:43" ht="13" customHeight="1">
      <c r="A60" s="22">
        <v>41196</v>
      </c>
      <c r="B60" s="23">
        <v>0.34722222222222221</v>
      </c>
      <c r="C60" s="24">
        <v>16.899999999999999</v>
      </c>
      <c r="D60" s="24">
        <v>56.9</v>
      </c>
      <c r="F60" s="24">
        <v>367.14285714285722</v>
      </c>
      <c r="G60" s="24">
        <v>32.857142857142847</v>
      </c>
      <c r="H60" s="24">
        <v>289.89502088572527</v>
      </c>
      <c r="I60" s="24">
        <v>392.75216374286822</v>
      </c>
      <c r="J60" s="25">
        <v>0.60899999999999999</v>
      </c>
      <c r="K60" s="25">
        <v>4.3999999999999997E-2</v>
      </c>
      <c r="L60" s="1">
        <v>0.6</v>
      </c>
      <c r="M60" s="1">
        <v>2</v>
      </c>
      <c r="O60" s="25">
        <v>0.97</v>
      </c>
      <c r="W60" s="1" t="s">
        <v>58</v>
      </c>
    </row>
    <row r="61" spans="1:43" ht="13" customHeight="1">
      <c r="A61" s="22">
        <v>41196</v>
      </c>
      <c r="B61" s="23">
        <v>0.35416666666666669</v>
      </c>
      <c r="C61" s="24">
        <v>17.399999999999999</v>
      </c>
      <c r="D61" s="24">
        <v>54.6</v>
      </c>
      <c r="E61" s="1">
        <v>0.4</v>
      </c>
      <c r="G61" s="24">
        <v>31.428571428571431</v>
      </c>
      <c r="H61" s="24">
        <v>289.92256333163772</v>
      </c>
      <c r="I61" s="24">
        <v>398.49399190306627</v>
      </c>
      <c r="J61" s="25">
        <v>0.60899999999999999</v>
      </c>
      <c r="K61" s="25">
        <v>4.3999999999999997E-2</v>
      </c>
      <c r="L61" s="1">
        <v>0.6</v>
      </c>
      <c r="M61" s="1">
        <v>2</v>
      </c>
      <c r="O61" s="25">
        <v>0.97</v>
      </c>
      <c r="W61" s="1" t="s">
        <v>66</v>
      </c>
    </row>
    <row r="62" spans="1:43" ht="13" customHeight="1">
      <c r="A62" s="22">
        <v>41196</v>
      </c>
      <c r="B62" s="23">
        <v>0.3611111111111111</v>
      </c>
      <c r="C62" s="24">
        <v>17.2</v>
      </c>
      <c r="D62" s="24">
        <v>55.7</v>
      </c>
      <c r="E62" s="1">
        <v>0.4</v>
      </c>
      <c r="F62" s="24">
        <v>424.28571428571428</v>
      </c>
      <c r="H62" s="24">
        <v>295.15216980040452</v>
      </c>
      <c r="I62" s="24">
        <v>406.58074122897602</v>
      </c>
      <c r="J62" s="25">
        <v>0.60899999999999999</v>
      </c>
      <c r="K62" s="25">
        <v>4.3999999999999997E-2</v>
      </c>
      <c r="L62" s="1">
        <v>0.6</v>
      </c>
      <c r="M62" s="1">
        <v>2</v>
      </c>
      <c r="O62" s="25">
        <v>0.97</v>
      </c>
      <c r="W62" s="1" t="s">
        <v>67</v>
      </c>
    </row>
    <row r="63" spans="1:43" ht="13" customHeight="1">
      <c r="A63" s="22">
        <v>41196</v>
      </c>
      <c r="B63" s="23">
        <v>0.36805555555555558</v>
      </c>
      <c r="C63" s="24">
        <v>17.899999999999999</v>
      </c>
      <c r="D63" s="24">
        <v>55.3</v>
      </c>
      <c r="E63" s="1">
        <v>0.4</v>
      </c>
      <c r="F63" s="24">
        <v>451.42857142857139</v>
      </c>
      <c r="G63" s="24">
        <v>45.714285714285722</v>
      </c>
      <c r="I63" s="24">
        <v>414.12674642266819</v>
      </c>
      <c r="J63" s="25">
        <v>0.60899999999999999</v>
      </c>
      <c r="K63" s="25">
        <v>4.3999999999999997E-2</v>
      </c>
      <c r="L63" s="1">
        <v>0.6</v>
      </c>
      <c r="M63" s="1">
        <v>2</v>
      </c>
      <c r="O63" s="25">
        <v>0.97</v>
      </c>
      <c r="W63" s="1" t="s">
        <v>59</v>
      </c>
    </row>
    <row r="64" spans="1:43" ht="13" customHeight="1">
      <c r="A64" s="22">
        <v>41196</v>
      </c>
      <c r="B64" s="23">
        <v>0.375</v>
      </c>
      <c r="C64" s="24">
        <v>18.5</v>
      </c>
      <c r="D64" s="24">
        <v>54.7</v>
      </c>
      <c r="E64" s="1">
        <v>0.4</v>
      </c>
      <c r="F64" s="24">
        <v>472.85714285714278</v>
      </c>
      <c r="G64" s="24">
        <v>42.857142857142847</v>
      </c>
      <c r="H64" s="24">
        <v>293.62833403149511</v>
      </c>
      <c r="J64" s="25">
        <v>0.60899999999999999</v>
      </c>
      <c r="K64" s="25">
        <v>4.3999999999999997E-2</v>
      </c>
      <c r="L64" s="1">
        <v>0.6</v>
      </c>
      <c r="M64" s="1">
        <v>2</v>
      </c>
      <c r="O64" s="25">
        <v>0.97</v>
      </c>
      <c r="W64" s="1" t="s">
        <v>60</v>
      </c>
    </row>
    <row r="65" spans="1:43" ht="13" customHeight="1">
      <c r="A65" s="22">
        <v>41196</v>
      </c>
      <c r="B65" s="23">
        <v>0.38194444444444442</v>
      </c>
      <c r="C65" s="24">
        <v>18.600000000000001</v>
      </c>
      <c r="D65" s="24">
        <v>54.9</v>
      </c>
      <c r="E65" s="1">
        <v>0.4</v>
      </c>
      <c r="F65" s="24">
        <v>498.57142857142861</v>
      </c>
      <c r="G65" s="24">
        <v>45.714285714285722</v>
      </c>
      <c r="H65" s="24">
        <v>298.97049721658959</v>
      </c>
      <c r="I65" s="24">
        <v>427.5419257880182</v>
      </c>
      <c r="K65" s="25">
        <v>4.3999999999999997E-2</v>
      </c>
      <c r="L65" s="1">
        <v>0.6</v>
      </c>
      <c r="M65" s="1">
        <v>2</v>
      </c>
      <c r="O65" s="25">
        <v>0.97</v>
      </c>
      <c r="W65" s="1" t="s">
        <v>68</v>
      </c>
    </row>
    <row r="66" spans="1:43" ht="13" customHeight="1">
      <c r="A66" s="22">
        <v>41196</v>
      </c>
      <c r="B66" s="23">
        <v>0.3888888888888889</v>
      </c>
      <c r="C66" s="24">
        <v>19.2</v>
      </c>
      <c r="D66" s="24">
        <v>52</v>
      </c>
      <c r="E66" s="1">
        <v>0.4</v>
      </c>
      <c r="F66" s="24">
        <v>522.85714285714289</v>
      </c>
      <c r="G66" s="24">
        <v>51.428571428571431</v>
      </c>
      <c r="H66" s="24">
        <v>298.97049721658959</v>
      </c>
      <c r="I66" s="24">
        <v>433.25621150230393</v>
      </c>
      <c r="J66" s="25">
        <v>0.60899999999999999</v>
      </c>
      <c r="L66" s="1">
        <v>0.6</v>
      </c>
      <c r="M66" s="1">
        <v>2</v>
      </c>
      <c r="O66" s="25">
        <v>0.97</v>
      </c>
      <c r="W66" s="1" t="s">
        <v>69</v>
      </c>
    </row>
    <row r="67" spans="1:43" ht="13" customHeight="1">
      <c r="A67" s="22">
        <v>41196</v>
      </c>
      <c r="B67" s="23">
        <v>0.39583333333333331</v>
      </c>
      <c r="C67" s="24">
        <v>19.100000000000001</v>
      </c>
      <c r="D67" s="24">
        <v>51.2</v>
      </c>
      <c r="E67" s="1">
        <v>0.6</v>
      </c>
      <c r="F67" s="24">
        <v>545.71428571428567</v>
      </c>
      <c r="G67" s="24">
        <v>61.428571428571431</v>
      </c>
      <c r="H67" s="24">
        <v>298.50327291717679</v>
      </c>
      <c r="I67" s="24">
        <v>439.93184434574817</v>
      </c>
      <c r="J67" s="25">
        <v>0.60899999999999999</v>
      </c>
      <c r="K67" s="25">
        <v>4.3999999999999997E-2</v>
      </c>
      <c r="M67" s="1">
        <v>2</v>
      </c>
      <c r="O67" s="25">
        <v>0.97</v>
      </c>
      <c r="W67" s="1" t="s">
        <v>61</v>
      </c>
    </row>
    <row r="68" spans="1:43" ht="13" customHeight="1">
      <c r="A68" s="22">
        <v>41196</v>
      </c>
      <c r="B68" s="23">
        <v>0.40277777777777779</v>
      </c>
      <c r="C68" s="24">
        <v>19.8</v>
      </c>
      <c r="D68" s="24">
        <v>48.4</v>
      </c>
      <c r="E68" s="1">
        <v>0.5</v>
      </c>
      <c r="F68" s="24">
        <v>565.71428571428567</v>
      </c>
      <c r="G68" s="24">
        <v>65.714285714285708</v>
      </c>
      <c r="H68" s="24">
        <v>301.95940242378811</v>
      </c>
      <c r="I68" s="24">
        <v>451.95940242378811</v>
      </c>
      <c r="J68" s="25">
        <v>0.60899999999999999</v>
      </c>
      <c r="K68" s="25">
        <v>4.3999999999999997E-2</v>
      </c>
      <c r="L68" s="1">
        <v>0.6</v>
      </c>
      <c r="O68" s="25">
        <v>0.97</v>
      </c>
      <c r="W68" s="1" t="s">
        <v>62</v>
      </c>
    </row>
    <row r="69" spans="1:43" ht="13" customHeight="1">
      <c r="A69" s="22">
        <v>41196</v>
      </c>
      <c r="B69" s="23">
        <v>0.40972222222222221</v>
      </c>
      <c r="C69" s="24">
        <v>20.3</v>
      </c>
      <c r="D69" s="24">
        <v>47.1</v>
      </c>
      <c r="E69" s="1">
        <v>0.5</v>
      </c>
      <c r="F69" s="24">
        <v>584.28571428571433</v>
      </c>
      <c r="G69" s="24">
        <v>67.142857142857139</v>
      </c>
      <c r="H69" s="24">
        <v>303.69682035240493</v>
      </c>
      <c r="I69" s="24">
        <v>463.69682035240493</v>
      </c>
      <c r="J69" s="25">
        <v>0.60899999999999999</v>
      </c>
      <c r="K69" s="25">
        <v>4.3999999999999997E-2</v>
      </c>
      <c r="L69" s="1">
        <v>0.6</v>
      </c>
      <c r="M69" s="1">
        <v>2</v>
      </c>
      <c r="O69" s="25"/>
      <c r="W69" s="1" t="s">
        <v>70</v>
      </c>
    </row>
    <row r="70" spans="1:43" ht="13" customHeight="1">
      <c r="A70" s="22">
        <v>41196</v>
      </c>
      <c r="B70" s="23">
        <v>0.41666666666666669</v>
      </c>
      <c r="C70" s="24">
        <v>20.8</v>
      </c>
      <c r="D70" s="24">
        <v>45.2</v>
      </c>
      <c r="E70" s="1">
        <v>0.5</v>
      </c>
      <c r="F70" s="24">
        <v>601.42857142857144</v>
      </c>
      <c r="G70" s="24">
        <v>71.428571428571431</v>
      </c>
      <c r="H70" s="24">
        <v>305.73104050625687</v>
      </c>
      <c r="I70" s="24">
        <v>471.44532622054271</v>
      </c>
      <c r="J70" s="25">
        <v>0.60899999999999999</v>
      </c>
      <c r="K70" s="25">
        <v>4.3999999999999997E-2</v>
      </c>
      <c r="L70" s="1">
        <v>0.6</v>
      </c>
      <c r="M70" s="1">
        <v>2</v>
      </c>
      <c r="O70" s="25">
        <v>0.97</v>
      </c>
      <c r="X70" s="1">
        <v>22.616460273431599</v>
      </c>
      <c r="Y70" s="1">
        <v>18.573868657835298</v>
      </c>
      <c r="Z70" s="1">
        <v>31.82586670940492</v>
      </c>
      <c r="AA70" s="1">
        <v>1.289757308117641</v>
      </c>
      <c r="AB70" s="1">
        <v>39.74271135397256</v>
      </c>
      <c r="AC70" s="1">
        <v>27.147829355717299</v>
      </c>
      <c r="AD70" s="1">
        <v>20.8</v>
      </c>
      <c r="AE70" s="1">
        <v>0.67560928777789309</v>
      </c>
      <c r="AF70" s="1">
        <v>1.0861959819085329</v>
      </c>
      <c r="AG70" s="1">
        <v>4.511407505618596</v>
      </c>
      <c r="AH70" s="1">
        <v>7.4604543059433759E-2</v>
      </c>
      <c r="AI70" s="1">
        <v>0</v>
      </c>
      <c r="AJ70" s="1">
        <v>0</v>
      </c>
      <c r="AK70" s="1">
        <v>21.848113026709651</v>
      </c>
      <c r="AL70" s="1">
        <v>20.8</v>
      </c>
      <c r="AM70" s="1">
        <v>2.2715369629622661</v>
      </c>
      <c r="AN70" s="1">
        <v>-5.5145015068213841</v>
      </c>
      <c r="AO70" s="1">
        <v>6.5629473825565139</v>
      </c>
      <c r="AP70" s="1">
        <v>-2.2718873232663568</v>
      </c>
      <c r="AQ70" s="1">
        <v>0</v>
      </c>
    </row>
    <row r="71" spans="1:43" ht="13" customHeight="1">
      <c r="A71" s="22">
        <v>41196</v>
      </c>
      <c r="B71" s="23">
        <v>0.4236111111111111</v>
      </c>
      <c r="C71" s="24">
        <v>21.1</v>
      </c>
      <c r="D71" s="24">
        <v>42</v>
      </c>
      <c r="E71" s="1">
        <v>0.5</v>
      </c>
      <c r="F71" s="24">
        <v>621.42857142857144</v>
      </c>
      <c r="G71" s="24">
        <v>78.571428571428569</v>
      </c>
      <c r="H71" s="24">
        <v>306.73114885820758</v>
      </c>
      <c r="I71" s="24">
        <v>479.58829171535041</v>
      </c>
      <c r="J71" s="25">
        <v>0.60899999999999999</v>
      </c>
      <c r="K71" s="25">
        <v>4.3999999999999997E-2</v>
      </c>
      <c r="L71" s="1">
        <v>0.6</v>
      </c>
      <c r="M71" s="1">
        <v>2</v>
      </c>
      <c r="O71" s="25">
        <v>0.97</v>
      </c>
      <c r="X71" s="1">
        <v>22.933589948875209</v>
      </c>
      <c r="Y71" s="1">
        <v>18.558054257835298</v>
      </c>
      <c r="Z71" s="1">
        <v>32.292103196062783</v>
      </c>
      <c r="AA71" s="1">
        <v>1.401526459455898</v>
      </c>
      <c r="AB71" s="1">
        <v>45.593179800563149</v>
      </c>
      <c r="AC71" s="1">
        <v>27.732400739335009</v>
      </c>
      <c r="AD71" s="1">
        <v>21.1</v>
      </c>
      <c r="AE71" s="1">
        <v>0.66432926197559117</v>
      </c>
      <c r="AF71" s="1">
        <v>1.426128967287505</v>
      </c>
      <c r="AG71" s="1">
        <v>4.5590659908532993</v>
      </c>
      <c r="AH71" s="1">
        <v>-1.7256208052046949E-2</v>
      </c>
      <c r="AI71" s="1">
        <v>0</v>
      </c>
      <c r="AJ71" s="1">
        <v>0</v>
      </c>
      <c r="AK71" s="1">
        <v>22.33053031642164</v>
      </c>
      <c r="AL71" s="1">
        <v>21.1</v>
      </c>
      <c r="AM71" s="1">
        <v>2.3008547666140311</v>
      </c>
      <c r="AN71" s="1">
        <v>-5.1376046820643841</v>
      </c>
      <c r="AO71" s="1">
        <v>6.6729674892896718</v>
      </c>
      <c r="AP71" s="1">
        <v>-2.605881526323691</v>
      </c>
      <c r="AQ71" s="1">
        <v>0</v>
      </c>
    </row>
    <row r="72" spans="1:43" ht="13" customHeight="1">
      <c r="A72" s="22">
        <v>41196</v>
      </c>
      <c r="B72" s="23">
        <v>0.43055555555555558</v>
      </c>
      <c r="C72" s="24">
        <v>21.4</v>
      </c>
      <c r="D72" s="24">
        <v>41.4</v>
      </c>
      <c r="E72" s="1">
        <v>0.6</v>
      </c>
      <c r="F72" s="24">
        <v>635.71428571428567</v>
      </c>
      <c r="G72" s="24">
        <v>81.428571428571431</v>
      </c>
      <c r="H72" s="24">
        <v>310.18922913466361</v>
      </c>
      <c r="I72" s="24">
        <v>491.61780056323511</v>
      </c>
      <c r="J72" s="25">
        <v>0.60899999999999999</v>
      </c>
      <c r="K72" s="25">
        <v>4.3999999999999997E-2</v>
      </c>
      <c r="L72" s="1">
        <v>0.6</v>
      </c>
      <c r="M72" s="1">
        <v>2</v>
      </c>
      <c r="O72" s="25">
        <v>0.97</v>
      </c>
      <c r="X72" s="1">
        <v>23.15690246774701</v>
      </c>
      <c r="Y72" s="1">
        <v>18.778452009402361</v>
      </c>
      <c r="Z72" s="1">
        <v>32.758304975752729</v>
      </c>
      <c r="AA72" s="1">
        <v>1.5340823437264901</v>
      </c>
      <c r="AB72" s="1">
        <v>52.75427543820912</v>
      </c>
      <c r="AC72" s="1">
        <v>28.479756378468021</v>
      </c>
      <c r="AD72" s="1">
        <v>21.4</v>
      </c>
      <c r="AE72" s="1">
        <v>0.53637528304101212</v>
      </c>
      <c r="AF72" s="1">
        <v>2.1963857384574101</v>
      </c>
      <c r="AG72" s="1">
        <v>4.5624712321629248</v>
      </c>
      <c r="AH72" s="1">
        <v>-0.21572683626217851</v>
      </c>
      <c r="AI72" s="1">
        <v>0</v>
      </c>
      <c r="AJ72" s="1">
        <v>0</v>
      </c>
      <c r="AK72" s="1">
        <v>22.964787112852139</v>
      </c>
      <c r="AL72" s="1">
        <v>21.4</v>
      </c>
      <c r="AM72" s="1">
        <v>2.1214128349510251</v>
      </c>
      <c r="AN72" s="1">
        <v>-4.0303471494784109</v>
      </c>
      <c r="AO72" s="1">
        <v>6.6849256438416367</v>
      </c>
      <c r="AP72" s="1">
        <v>-3.211571924223882</v>
      </c>
      <c r="AQ72" s="1">
        <v>0</v>
      </c>
    </row>
    <row r="73" spans="1:43" ht="13" customHeight="1">
      <c r="A73" s="22">
        <v>41196</v>
      </c>
      <c r="B73" s="23">
        <v>0.4375</v>
      </c>
      <c r="C73" s="24">
        <v>22.1</v>
      </c>
      <c r="D73" s="24">
        <v>39.700000000000003</v>
      </c>
      <c r="E73" s="1">
        <v>0.5</v>
      </c>
      <c r="F73" s="24">
        <v>645.71428571428567</v>
      </c>
      <c r="G73" s="24">
        <v>82.857142857142861</v>
      </c>
      <c r="H73" s="24">
        <v>311.41701362306571</v>
      </c>
      <c r="I73" s="24">
        <v>499.98844219449421</v>
      </c>
      <c r="J73" s="25">
        <v>0.60899999999999999</v>
      </c>
      <c r="K73" s="25">
        <v>4.3999999999999997E-2</v>
      </c>
      <c r="L73" s="1">
        <v>0.6</v>
      </c>
      <c r="M73" s="1">
        <v>2</v>
      </c>
      <c r="O73" s="25">
        <v>0.97</v>
      </c>
      <c r="X73" s="1">
        <v>23.99068886702058</v>
      </c>
      <c r="Y73" s="1">
        <v>19.22604881497816</v>
      </c>
      <c r="Z73" s="1">
        <v>33.294771650663613</v>
      </c>
      <c r="AA73" s="1">
        <v>1.70388502527049</v>
      </c>
      <c r="AB73" s="1">
        <v>61.95956490982762</v>
      </c>
      <c r="AC73" s="1">
        <v>29.23950150660637</v>
      </c>
      <c r="AD73" s="1">
        <v>22.1</v>
      </c>
      <c r="AE73" s="1">
        <v>0.63249371361482865</v>
      </c>
      <c r="AF73" s="1">
        <v>2.1255798678407452</v>
      </c>
      <c r="AG73" s="1">
        <v>4.5785497948780911</v>
      </c>
      <c r="AH73" s="1">
        <v>-0.19743652655346011</v>
      </c>
      <c r="AI73" s="1">
        <v>0</v>
      </c>
      <c r="AJ73" s="1">
        <v>0</v>
      </c>
      <c r="AK73" s="1">
        <v>23.58611107818334</v>
      </c>
      <c r="AL73" s="1">
        <v>22.1</v>
      </c>
      <c r="AM73" s="1">
        <v>2.2475272472364991</v>
      </c>
      <c r="AN73" s="1">
        <v>-3.9621628499370209</v>
      </c>
      <c r="AO73" s="1">
        <v>6.7370417434788754</v>
      </c>
      <c r="AP73" s="1">
        <v>-3.5367580598905528</v>
      </c>
      <c r="AQ73" s="1">
        <v>0</v>
      </c>
    </row>
    <row r="74" spans="1:43" ht="13" customHeight="1">
      <c r="A74" s="22">
        <v>41196</v>
      </c>
      <c r="B74" s="23">
        <v>0.44444444444444442</v>
      </c>
      <c r="C74" s="24">
        <v>22</v>
      </c>
      <c r="D74" s="24">
        <v>38.200000000000003</v>
      </c>
      <c r="E74" s="1">
        <v>0.6</v>
      </c>
      <c r="F74" s="24">
        <v>662.85714285714289</v>
      </c>
      <c r="G74" s="24">
        <v>90</v>
      </c>
      <c r="H74" s="24">
        <v>313.06865189109112</v>
      </c>
      <c r="I74" s="24">
        <v>508.78293760537679</v>
      </c>
      <c r="J74" s="25">
        <v>0.60899999999999999</v>
      </c>
      <c r="K74" s="25">
        <v>4.3999999999999997E-2</v>
      </c>
      <c r="L74" s="1">
        <v>0.6</v>
      </c>
      <c r="M74" s="1">
        <v>2</v>
      </c>
      <c r="O74" s="25">
        <v>0.97</v>
      </c>
      <c r="X74" s="1">
        <v>23.79889834383388</v>
      </c>
      <c r="Y74" s="1">
        <v>19.012917937973789</v>
      </c>
      <c r="Z74" s="1">
        <v>33.543437589023007</v>
      </c>
      <c r="AA74" s="1">
        <v>1.75093057529966</v>
      </c>
      <c r="AB74" s="1">
        <v>64.458391078619201</v>
      </c>
      <c r="AC74" s="1">
        <v>29.573825246035081</v>
      </c>
      <c r="AD74" s="1">
        <v>22</v>
      </c>
      <c r="AE74" s="1">
        <v>0.52044583710328063</v>
      </c>
      <c r="AF74" s="1">
        <v>2.894663234535551</v>
      </c>
      <c r="AG74" s="1">
        <v>4.6036136672684789</v>
      </c>
      <c r="AH74" s="1">
        <v>-0.44524956253665232</v>
      </c>
      <c r="AI74" s="1">
        <v>0</v>
      </c>
      <c r="AJ74" s="1">
        <v>0</v>
      </c>
      <c r="AK74" s="1">
        <v>23.882459871797881</v>
      </c>
      <c r="AL74" s="1">
        <v>22</v>
      </c>
      <c r="AM74" s="1">
        <v>2.1293151101869272</v>
      </c>
      <c r="AN74" s="1">
        <v>-3.0286011063837819</v>
      </c>
      <c r="AO74" s="1">
        <v>6.7903651304861681</v>
      </c>
      <c r="AP74" s="1">
        <v>-4.009138567920866</v>
      </c>
      <c r="AQ74" s="1">
        <v>0</v>
      </c>
    </row>
    <row r="75" spans="1:43" ht="13" customHeight="1">
      <c r="A75" s="22">
        <v>41196</v>
      </c>
      <c r="B75" s="23">
        <v>0.4513888888888889</v>
      </c>
      <c r="C75" s="24">
        <v>22.8</v>
      </c>
      <c r="D75" s="24">
        <v>37.4</v>
      </c>
      <c r="E75" s="1">
        <v>0.5</v>
      </c>
      <c r="F75" s="24">
        <v>670</v>
      </c>
      <c r="G75" s="24">
        <v>90</v>
      </c>
      <c r="H75" s="24">
        <v>312.25796826983458</v>
      </c>
      <c r="I75" s="24">
        <v>512.25796826983458</v>
      </c>
      <c r="J75" s="25">
        <v>0.60899999999999999</v>
      </c>
      <c r="K75" s="25">
        <v>4.3999999999999997E-2</v>
      </c>
      <c r="L75" s="1">
        <v>0.6</v>
      </c>
      <c r="M75" s="1">
        <v>2</v>
      </c>
      <c r="O75" s="25">
        <v>0.97</v>
      </c>
      <c r="X75" s="1">
        <v>24.730658109722341</v>
      </c>
      <c r="Y75" s="1">
        <v>19.621973572121011</v>
      </c>
      <c r="Z75" s="1">
        <v>33.994238913174023</v>
      </c>
      <c r="AA75" s="1">
        <v>1.898492172598462</v>
      </c>
      <c r="AB75" s="1">
        <v>71.979817939569173</v>
      </c>
      <c r="AC75" s="1">
        <v>30.011545302677199</v>
      </c>
      <c r="AD75" s="1">
        <v>22.8</v>
      </c>
      <c r="AE75" s="1">
        <v>0.60298579719894974</v>
      </c>
      <c r="AF75" s="1">
        <v>2.3437649513537222</v>
      </c>
      <c r="AG75" s="1">
        <v>4.6145488989787813</v>
      </c>
      <c r="AH75" s="1">
        <v>-0.35011471131766719</v>
      </c>
      <c r="AI75" s="1">
        <v>0</v>
      </c>
      <c r="AJ75" s="1">
        <v>0</v>
      </c>
      <c r="AK75" s="1">
        <v>24.23366272061223</v>
      </c>
      <c r="AL75" s="1">
        <v>22.8</v>
      </c>
      <c r="AM75" s="1">
        <v>2.1980840750212698</v>
      </c>
      <c r="AN75" s="1">
        <v>-3.4979410679085858</v>
      </c>
      <c r="AO75" s="1">
        <v>6.8258550736056423</v>
      </c>
      <c r="AP75" s="1">
        <v>-4.0928684152986987</v>
      </c>
      <c r="AQ75" s="1">
        <v>0</v>
      </c>
    </row>
    <row r="76" spans="1:43" ht="13" customHeight="1">
      <c r="A76" s="22">
        <v>41196</v>
      </c>
      <c r="B76" s="23">
        <v>0.45833333333333331</v>
      </c>
      <c r="C76" s="24">
        <v>22.7</v>
      </c>
      <c r="D76" s="24">
        <v>36.9</v>
      </c>
      <c r="E76" s="1">
        <v>0.7</v>
      </c>
      <c r="F76" s="24">
        <v>677.14285714285711</v>
      </c>
      <c r="G76" s="24">
        <v>88.571428571428569</v>
      </c>
      <c r="H76" s="24">
        <v>316.78523059551623</v>
      </c>
      <c r="I76" s="24">
        <v>525.35665916694472</v>
      </c>
      <c r="J76" s="25">
        <v>0.60899999999999999</v>
      </c>
      <c r="K76" s="25">
        <v>4.3999999999999997E-2</v>
      </c>
      <c r="L76" s="1">
        <v>0.6</v>
      </c>
      <c r="M76" s="1">
        <v>2</v>
      </c>
      <c r="O76" s="25">
        <v>0.97</v>
      </c>
      <c r="X76" s="1">
        <v>24.480967924360439</v>
      </c>
      <c r="Y76" s="1">
        <v>19.488354089540842</v>
      </c>
      <c r="Z76" s="1">
        <v>34.133818862651673</v>
      </c>
      <c r="AA76" s="1">
        <v>1.956409954060198</v>
      </c>
      <c r="AB76" s="1">
        <v>74.754715770390888</v>
      </c>
      <c r="AC76" s="1">
        <v>30.429828445493531</v>
      </c>
      <c r="AD76" s="1">
        <v>22.7</v>
      </c>
      <c r="AE76" s="1">
        <v>0.39178913665437481</v>
      </c>
      <c r="AF76" s="1">
        <v>3.5350993086980731</v>
      </c>
      <c r="AG76" s="1">
        <v>4.5797396572851703</v>
      </c>
      <c r="AH76" s="1">
        <v>-0.77720775766228378</v>
      </c>
      <c r="AI76" s="1">
        <v>0</v>
      </c>
      <c r="AJ76" s="1">
        <v>0</v>
      </c>
      <c r="AK76" s="1">
        <v>24.6315282552242</v>
      </c>
      <c r="AL76" s="1">
        <v>22.7</v>
      </c>
      <c r="AM76" s="1">
        <v>1.8902331953459539</v>
      </c>
      <c r="AN76" s="1">
        <v>-1.8429942110577151</v>
      </c>
      <c r="AO76" s="1">
        <v>6.7477342895653329</v>
      </c>
      <c r="AP76" s="1">
        <v>-4.8640463091100132</v>
      </c>
      <c r="AQ76" s="1">
        <v>0</v>
      </c>
    </row>
    <row r="77" spans="1:43" ht="13" customHeight="1">
      <c r="A77" s="22">
        <v>41196</v>
      </c>
      <c r="B77" s="23">
        <v>0.46527777777777779</v>
      </c>
      <c r="C77" s="24">
        <v>23.7</v>
      </c>
      <c r="D77" s="24">
        <v>35.700000000000003</v>
      </c>
      <c r="E77" s="1">
        <v>0.5</v>
      </c>
      <c r="F77" s="24">
        <v>687.14285714285711</v>
      </c>
      <c r="G77" s="24">
        <v>94.285714285714292</v>
      </c>
      <c r="H77" s="24">
        <v>318.4708074157777</v>
      </c>
      <c r="I77" s="24">
        <v>531.32795027292059</v>
      </c>
      <c r="J77" s="25">
        <v>0.60899999999999999</v>
      </c>
      <c r="K77" s="25">
        <v>4.3999999999999997E-2</v>
      </c>
      <c r="L77" s="1">
        <v>0.6</v>
      </c>
      <c r="M77" s="1">
        <v>2</v>
      </c>
      <c r="O77" s="25">
        <v>0.97</v>
      </c>
      <c r="X77" s="1">
        <v>25.682047136053178</v>
      </c>
      <c r="Y77" s="1">
        <v>20.225125400692441</v>
      </c>
      <c r="Z77" s="1">
        <v>34.904877811849303</v>
      </c>
      <c r="AA77" s="1">
        <v>2.1814551525476649</v>
      </c>
      <c r="AB77" s="1">
        <v>84.237452284488796</v>
      </c>
      <c r="AC77" s="1">
        <v>31.31765379275619</v>
      </c>
      <c r="AD77" s="1">
        <v>23.7</v>
      </c>
      <c r="AE77" s="1">
        <v>0.57370137496535933</v>
      </c>
      <c r="AF77" s="1">
        <v>3.06230773337552</v>
      </c>
      <c r="AG77" s="1">
        <v>4.6225138016013467</v>
      </c>
      <c r="AH77" s="1">
        <v>-0.64132219453514805</v>
      </c>
      <c r="AI77" s="1">
        <v>0</v>
      </c>
      <c r="AJ77" s="1">
        <v>0</v>
      </c>
      <c r="AK77" s="1">
        <v>25.367384832848561</v>
      </c>
      <c r="AL77" s="1">
        <v>23.7</v>
      </c>
      <c r="AM77" s="1">
        <v>2.1311949541652049</v>
      </c>
      <c r="AN77" s="1">
        <v>-2.2274281869991821</v>
      </c>
      <c r="AO77" s="1">
        <v>6.8642993435799138</v>
      </c>
      <c r="AP77" s="1">
        <v>-5.1013540846607706</v>
      </c>
      <c r="AQ77" s="1">
        <v>0</v>
      </c>
    </row>
    <row r="78" spans="1:43" ht="13" customHeight="1">
      <c r="A78" s="22">
        <v>41196</v>
      </c>
      <c r="B78" s="23">
        <v>0.47222222222222221</v>
      </c>
      <c r="C78" s="24">
        <v>23.4</v>
      </c>
      <c r="D78" s="24">
        <v>35.200000000000003</v>
      </c>
      <c r="E78" s="1">
        <v>0.7</v>
      </c>
      <c r="F78" s="24">
        <v>691.42857142857144</v>
      </c>
      <c r="G78" s="24">
        <v>94.285714285714292</v>
      </c>
      <c r="H78" s="24">
        <v>319.27531014434919</v>
      </c>
      <c r="I78" s="24">
        <v>534.98959585863497</v>
      </c>
      <c r="J78" s="25">
        <v>0.60899999999999999</v>
      </c>
      <c r="K78" s="25">
        <v>4.3999999999999997E-2</v>
      </c>
      <c r="L78" s="1">
        <v>0.6</v>
      </c>
      <c r="M78" s="1">
        <v>2</v>
      </c>
      <c r="O78" s="25">
        <v>0.97</v>
      </c>
      <c r="X78" s="1">
        <v>25.23780257062592</v>
      </c>
      <c r="Y78" s="1">
        <v>19.918288946683699</v>
      </c>
      <c r="Z78" s="1">
        <v>34.759479513082518</v>
      </c>
      <c r="AA78" s="1">
        <v>2.1386081639365369</v>
      </c>
      <c r="AB78" s="1">
        <v>82.61006648535367</v>
      </c>
      <c r="AC78" s="1">
        <v>31.063431962218932</v>
      </c>
      <c r="AD78" s="1">
        <v>23.4</v>
      </c>
      <c r="AE78" s="1">
        <v>0.37357818822057948</v>
      </c>
      <c r="AF78" s="1">
        <v>3.6532841356417971</v>
      </c>
      <c r="AG78" s="1">
        <v>4.59914656095658</v>
      </c>
      <c r="AH78" s="1">
        <v>-0.96303377371774679</v>
      </c>
      <c r="AI78" s="1">
        <v>0</v>
      </c>
      <c r="AJ78" s="1">
        <v>0</v>
      </c>
      <c r="AK78" s="1">
        <v>25.17508964257426</v>
      </c>
      <c r="AL78" s="1">
        <v>23.4</v>
      </c>
      <c r="AM78" s="1">
        <v>1.83541366056418</v>
      </c>
      <c r="AN78" s="1">
        <v>-1.4465799136252371</v>
      </c>
      <c r="AO78" s="1">
        <v>6.7997448283483823</v>
      </c>
      <c r="AP78" s="1">
        <v>-5.4141643778164861</v>
      </c>
      <c r="AQ78" s="1">
        <v>0</v>
      </c>
    </row>
    <row r="79" spans="1:43" ht="13" customHeight="1">
      <c r="A79" s="22">
        <v>41196</v>
      </c>
      <c r="B79" s="23">
        <v>0.47916666666666669</v>
      </c>
      <c r="C79" s="24">
        <v>23.6</v>
      </c>
      <c r="D79" s="24">
        <v>33.299999999999997</v>
      </c>
      <c r="E79" s="1">
        <v>0.8</v>
      </c>
      <c r="F79" s="24">
        <v>694.28571428571433</v>
      </c>
      <c r="G79" s="24">
        <v>98.571428571428569</v>
      </c>
      <c r="H79" s="24">
        <v>317.66692503376947</v>
      </c>
      <c r="I79" s="24">
        <v>539.09549646234086</v>
      </c>
      <c r="J79" s="25">
        <v>0.60899999999999999</v>
      </c>
      <c r="K79" s="25">
        <v>4.3999999999999997E-2</v>
      </c>
      <c r="L79" s="1">
        <v>0.6</v>
      </c>
      <c r="M79" s="1">
        <v>2</v>
      </c>
      <c r="O79" s="25">
        <v>0.97</v>
      </c>
      <c r="X79" s="1">
        <v>25.403652413192241</v>
      </c>
      <c r="Y79" s="1">
        <v>19.88361521253648</v>
      </c>
      <c r="Z79" s="1">
        <v>34.871080412784721</v>
      </c>
      <c r="AA79" s="1">
        <v>2.1749246220834122</v>
      </c>
      <c r="AB79" s="1">
        <v>83.995217737479322</v>
      </c>
      <c r="AC79" s="1">
        <v>31.003245829381139</v>
      </c>
      <c r="AD79" s="1">
        <v>23.6</v>
      </c>
      <c r="AE79" s="1">
        <v>0.26491327431361139</v>
      </c>
      <c r="AF79" s="1">
        <v>3.6831155150707779</v>
      </c>
      <c r="AG79" s="1">
        <v>4.6004459219544023</v>
      </c>
      <c r="AH79" s="1">
        <v>-1.145685501199917</v>
      </c>
      <c r="AI79" s="1">
        <v>0</v>
      </c>
      <c r="AJ79" s="1">
        <v>0</v>
      </c>
      <c r="AK79" s="1">
        <v>25.134928497881699</v>
      </c>
      <c r="AL79" s="1">
        <v>23.6</v>
      </c>
      <c r="AM79" s="1">
        <v>1.6490747445482981</v>
      </c>
      <c r="AN79" s="1">
        <v>-1.281364314594893</v>
      </c>
      <c r="AO79" s="1">
        <v>6.7961457605866666</v>
      </c>
      <c r="AP79" s="1">
        <v>-5.6296022470341178</v>
      </c>
      <c r="AQ79" s="1">
        <v>0</v>
      </c>
    </row>
    <row r="80" spans="1:43" ht="13" customHeight="1">
      <c r="A80" s="22">
        <v>41196</v>
      </c>
      <c r="B80" s="23">
        <v>0.4861111111111111</v>
      </c>
      <c r="C80" s="24">
        <v>23.7</v>
      </c>
      <c r="D80" s="24">
        <v>34.799999999999997</v>
      </c>
      <c r="E80" s="1">
        <v>0.7</v>
      </c>
      <c r="F80" s="24">
        <v>702.85714285714289</v>
      </c>
      <c r="G80" s="24">
        <v>100</v>
      </c>
      <c r="H80" s="24">
        <v>316.23835360519797</v>
      </c>
      <c r="I80" s="24">
        <v>539.09549646234086</v>
      </c>
      <c r="J80" s="25">
        <v>0.60899999999999999</v>
      </c>
      <c r="K80" s="25">
        <v>4.3999999999999997E-2</v>
      </c>
      <c r="L80" s="1">
        <v>0.6</v>
      </c>
      <c r="M80" s="1">
        <v>2</v>
      </c>
      <c r="O80" s="25">
        <v>0.97</v>
      </c>
      <c r="X80" s="1">
        <v>25.562160276168282</v>
      </c>
      <c r="Y80" s="1">
        <v>20.14144243239798</v>
      </c>
      <c r="Z80" s="1">
        <v>35.059357687260388</v>
      </c>
      <c r="AA80" s="1">
        <v>2.2063425866531992</v>
      </c>
      <c r="AB80" s="1">
        <v>85.141180668224706</v>
      </c>
      <c r="AC80" s="1">
        <v>31.187299816200529</v>
      </c>
      <c r="AD80" s="1">
        <v>23.7</v>
      </c>
      <c r="AE80" s="1">
        <v>0.3631844969305747</v>
      </c>
      <c r="AF80" s="1">
        <v>3.4859744193594762</v>
      </c>
      <c r="AG80" s="1">
        <v>4.6274093245754928</v>
      </c>
      <c r="AH80" s="1">
        <v>-0.98972747494443991</v>
      </c>
      <c r="AI80" s="1">
        <v>0</v>
      </c>
      <c r="AJ80" s="1">
        <v>0</v>
      </c>
      <c r="AK80" s="1">
        <v>25.272749074253319</v>
      </c>
      <c r="AL80" s="1">
        <v>23.7</v>
      </c>
      <c r="AM80" s="1">
        <v>1.8120105280433061</v>
      </c>
      <c r="AN80" s="1">
        <v>-1.592301080725953</v>
      </c>
      <c r="AO80" s="1">
        <v>6.8615858277702069</v>
      </c>
      <c r="AP80" s="1">
        <v>-5.5092268868661023</v>
      </c>
      <c r="AQ80" s="1">
        <v>0</v>
      </c>
    </row>
    <row r="81" spans="1:43" ht="13" customHeight="1">
      <c r="A81" s="22">
        <v>41196</v>
      </c>
      <c r="B81" s="23">
        <v>0.49305555555555558</v>
      </c>
      <c r="C81" s="24">
        <v>23.9</v>
      </c>
      <c r="D81" s="24">
        <v>33.5</v>
      </c>
      <c r="E81" s="1">
        <v>0.8</v>
      </c>
      <c r="F81" s="24">
        <v>701.42857142857144</v>
      </c>
      <c r="G81" s="24">
        <v>101.4285714285714</v>
      </c>
      <c r="H81" s="24">
        <v>318.29223483785808</v>
      </c>
      <c r="I81" s="24">
        <v>545.43509198071524</v>
      </c>
      <c r="J81" s="25">
        <v>0.60899999999999999</v>
      </c>
      <c r="K81" s="25">
        <v>4.3999999999999997E-2</v>
      </c>
      <c r="L81" s="1">
        <v>0.6</v>
      </c>
      <c r="M81" s="1">
        <v>2</v>
      </c>
      <c r="O81" s="25">
        <v>0.97</v>
      </c>
      <c r="X81" s="1">
        <v>25.730988220332641</v>
      </c>
      <c r="Y81" s="1">
        <v>20.1637145411079</v>
      </c>
      <c r="Z81" s="1">
        <v>35.223987526127353</v>
      </c>
      <c r="AA81" s="1">
        <v>2.2694127656011429</v>
      </c>
      <c r="AB81" s="1">
        <v>87.291634304379713</v>
      </c>
      <c r="AC81" s="1">
        <v>31.362484447855721</v>
      </c>
      <c r="AD81" s="1">
        <v>23.9</v>
      </c>
      <c r="AE81" s="1">
        <v>0.25972114930929419</v>
      </c>
      <c r="AF81" s="1">
        <v>3.8240135728708502</v>
      </c>
      <c r="AG81" s="1">
        <v>4.6133172158850364</v>
      </c>
      <c r="AH81" s="1">
        <v>-1.2350710013379489</v>
      </c>
      <c r="AI81" s="1">
        <v>0</v>
      </c>
      <c r="AJ81" s="1">
        <v>0</v>
      </c>
      <c r="AK81" s="1">
        <v>25.443498214452969</v>
      </c>
      <c r="AL81" s="1">
        <v>23.9</v>
      </c>
      <c r="AM81" s="1">
        <v>1.6350954053893869</v>
      </c>
      <c r="AN81" s="1">
        <v>-0.99809352427008846</v>
      </c>
      <c r="AO81" s="1">
        <v>6.8295197569872794</v>
      </c>
      <c r="AP81" s="1">
        <v>-5.9237688177027277</v>
      </c>
      <c r="AQ81" s="1">
        <v>0</v>
      </c>
    </row>
    <row r="82" spans="1:43" ht="13" customHeight="1">
      <c r="A82" s="22">
        <v>41196</v>
      </c>
      <c r="B82" s="23">
        <v>0.5</v>
      </c>
      <c r="C82" s="24">
        <v>24.2</v>
      </c>
      <c r="D82" s="24">
        <v>33</v>
      </c>
      <c r="E82" s="1">
        <v>0.7</v>
      </c>
      <c r="F82" s="24">
        <v>690</v>
      </c>
      <c r="G82" s="24">
        <v>98.571428571428569</v>
      </c>
      <c r="H82" s="24">
        <v>321.60046433550337</v>
      </c>
      <c r="I82" s="24">
        <v>550.17189290693193</v>
      </c>
      <c r="J82" s="25">
        <v>0.60899999999999999</v>
      </c>
      <c r="K82" s="25">
        <v>4.3999999999999997E-2</v>
      </c>
      <c r="L82" s="1">
        <v>0.6</v>
      </c>
      <c r="M82" s="1">
        <v>2</v>
      </c>
      <c r="O82" s="25">
        <v>0.97</v>
      </c>
      <c r="X82" s="1">
        <v>26.1027564520722</v>
      </c>
      <c r="Y82" s="1">
        <v>20.348884160969419</v>
      </c>
      <c r="Z82" s="1">
        <v>35.405256628783441</v>
      </c>
      <c r="AA82" s="1">
        <v>2.3516249889335841</v>
      </c>
      <c r="AB82" s="1">
        <v>89.789364859384492</v>
      </c>
      <c r="AC82" s="1">
        <v>31.855377433636221</v>
      </c>
      <c r="AD82" s="1">
        <v>24.2</v>
      </c>
      <c r="AE82" s="1">
        <v>0.35500079826334441</v>
      </c>
      <c r="AF82" s="1">
        <v>3.9580200065730309</v>
      </c>
      <c r="AG82" s="1">
        <v>4.5937799321801869</v>
      </c>
      <c r="AH82" s="1">
        <v>-1.251934203510221</v>
      </c>
      <c r="AI82" s="1">
        <v>0</v>
      </c>
      <c r="AJ82" s="1">
        <v>0</v>
      </c>
      <c r="AK82" s="1">
        <v>25.87509521108495</v>
      </c>
      <c r="AL82" s="1">
        <v>24.2</v>
      </c>
      <c r="AM82" s="1">
        <v>1.7590683173891339</v>
      </c>
      <c r="AN82" s="1">
        <v>-0.70210917861825328</v>
      </c>
      <c r="AO82" s="1">
        <v>6.8028276995103054</v>
      </c>
      <c r="AP82" s="1">
        <v>-6.1854482079655826</v>
      </c>
      <c r="AQ82" s="1">
        <v>0</v>
      </c>
    </row>
    <row r="83" spans="1:43" ht="13" customHeight="1">
      <c r="A83" s="22">
        <v>41196</v>
      </c>
      <c r="B83" s="23">
        <v>0.50694444444444442</v>
      </c>
      <c r="C83" s="24">
        <v>23.4</v>
      </c>
      <c r="D83" s="24">
        <v>31.7</v>
      </c>
      <c r="E83" s="1">
        <v>0.9</v>
      </c>
      <c r="F83" s="24">
        <v>697.14285714285711</v>
      </c>
      <c r="G83" s="24">
        <v>98.571428571428569</v>
      </c>
      <c r="H83" s="24">
        <v>318.11614693456602</v>
      </c>
      <c r="I83" s="24">
        <v>548.11614693456602</v>
      </c>
      <c r="J83" s="25">
        <v>0.60899999999999999</v>
      </c>
      <c r="K83" s="25">
        <v>4.3999999999999997E-2</v>
      </c>
      <c r="L83" s="1">
        <v>0.6</v>
      </c>
      <c r="M83" s="1">
        <v>2</v>
      </c>
      <c r="O83" s="25">
        <v>0.97</v>
      </c>
      <c r="X83" s="1">
        <v>25.138293372360511</v>
      </c>
      <c r="Y83" s="1">
        <v>19.547691078389249</v>
      </c>
      <c r="Z83" s="1">
        <v>34.853700113461677</v>
      </c>
      <c r="AA83" s="1">
        <v>2.1819710004585602</v>
      </c>
      <c r="AB83" s="1">
        <v>84.256496626460248</v>
      </c>
      <c r="AC83" s="1">
        <v>31.14614942985644</v>
      </c>
      <c r="AD83" s="1">
        <v>23.4</v>
      </c>
      <c r="AE83" s="1">
        <v>0.16899647403250351</v>
      </c>
      <c r="AF83" s="1">
        <v>4.3883991552284964</v>
      </c>
      <c r="AG83" s="1">
        <v>4.5921571165136399</v>
      </c>
      <c r="AH83" s="1">
        <v>-1.4039065448705701</v>
      </c>
      <c r="AI83" s="1">
        <v>0</v>
      </c>
      <c r="AJ83" s="1">
        <v>0</v>
      </c>
      <c r="AK83" s="1">
        <v>25.28325016863241</v>
      </c>
      <c r="AL83" s="1">
        <v>23.4</v>
      </c>
      <c r="AM83" s="1">
        <v>1.5313006820460391</v>
      </c>
      <c r="AN83" s="1">
        <v>-0.38809543997737328</v>
      </c>
      <c r="AO83" s="1">
        <v>6.7769492984556523</v>
      </c>
      <c r="AP83" s="1">
        <v>-6.0376470200654371</v>
      </c>
      <c r="AQ83" s="1">
        <v>0</v>
      </c>
    </row>
    <row r="84" spans="1:43" ht="13" customHeight="1">
      <c r="A84" s="22">
        <v>41196</v>
      </c>
      <c r="B84" s="23">
        <v>0.51388888888888884</v>
      </c>
      <c r="C84" s="24">
        <v>24.3</v>
      </c>
      <c r="D84" s="24">
        <v>30.8</v>
      </c>
      <c r="E84" s="1">
        <v>0.8</v>
      </c>
      <c r="F84" s="24">
        <v>700</v>
      </c>
      <c r="G84" s="24">
        <v>98.571428571428569</v>
      </c>
      <c r="H84" s="24">
        <v>314.80978217662658</v>
      </c>
      <c r="I84" s="24">
        <v>546.23835360519809</v>
      </c>
      <c r="J84" s="25">
        <v>0.60899999999999999</v>
      </c>
      <c r="K84" s="25">
        <v>4.3999999999999997E-2</v>
      </c>
      <c r="L84" s="1">
        <v>0.6</v>
      </c>
      <c r="M84" s="1">
        <v>2</v>
      </c>
      <c r="O84" s="25">
        <v>0.97</v>
      </c>
      <c r="X84" s="1">
        <v>26.16743596318652</v>
      </c>
      <c r="Y84" s="1">
        <v>20.20252035539362</v>
      </c>
      <c r="Z84" s="1">
        <v>35.318912502331628</v>
      </c>
      <c r="AA84" s="1">
        <v>2.3059401015285448</v>
      </c>
      <c r="AB84" s="1">
        <v>88.44421209504246</v>
      </c>
      <c r="AC84" s="1">
        <v>31.25482434808875</v>
      </c>
      <c r="AD84" s="1">
        <v>24.3</v>
      </c>
      <c r="AE84" s="1">
        <v>0.25002617928542398</v>
      </c>
      <c r="AF84" s="1">
        <v>3.3630609309457471</v>
      </c>
      <c r="AG84" s="1">
        <v>4.615220306828137</v>
      </c>
      <c r="AH84" s="1">
        <v>-1.2739867515554799</v>
      </c>
      <c r="AI84" s="1">
        <v>0</v>
      </c>
      <c r="AJ84" s="1">
        <v>0</v>
      </c>
      <c r="AK84" s="1">
        <v>25.353617442000299</v>
      </c>
      <c r="AL84" s="1">
        <v>24.3</v>
      </c>
      <c r="AM84" s="1">
        <v>1.5737310137701741</v>
      </c>
      <c r="AN84" s="1">
        <v>-1.4308744455244531</v>
      </c>
      <c r="AO84" s="1">
        <v>6.8320703831126393</v>
      </c>
      <c r="AP84" s="1">
        <v>-5.9220551281241649</v>
      </c>
      <c r="AQ84" s="1">
        <v>0</v>
      </c>
    </row>
    <row r="85" spans="1:43" ht="13" customHeight="1">
      <c r="A85" s="22">
        <v>41196</v>
      </c>
      <c r="B85" s="23">
        <v>0.52083333333333337</v>
      </c>
      <c r="C85" s="24">
        <v>23.9</v>
      </c>
      <c r="D85" s="24">
        <v>27.8</v>
      </c>
      <c r="E85" s="1">
        <v>1.2</v>
      </c>
      <c r="F85" s="24">
        <v>692.85714285714289</v>
      </c>
      <c r="G85" s="24">
        <v>100</v>
      </c>
      <c r="H85" s="24">
        <v>310.080432808659</v>
      </c>
      <c r="I85" s="24">
        <v>545.79471852294466</v>
      </c>
      <c r="J85" s="25">
        <v>0.60899999999999999</v>
      </c>
      <c r="K85" s="25">
        <v>4.3999999999999997E-2</v>
      </c>
      <c r="L85" s="1">
        <v>0.6</v>
      </c>
      <c r="M85" s="1">
        <v>2</v>
      </c>
      <c r="O85" s="25">
        <v>0.97</v>
      </c>
      <c r="X85" s="1">
        <v>25.580660373475251</v>
      </c>
      <c r="Y85" s="1">
        <v>19.526040804518999</v>
      </c>
      <c r="Z85" s="1">
        <v>34.735459257968351</v>
      </c>
      <c r="AA85" s="1">
        <v>2.1087572663406822</v>
      </c>
      <c r="AB85" s="1">
        <v>81.424074541183941</v>
      </c>
      <c r="AC85" s="1">
        <v>30.382255025362461</v>
      </c>
      <c r="AD85" s="1">
        <v>23.9</v>
      </c>
      <c r="AE85" s="1">
        <v>-0.1186724145166705</v>
      </c>
      <c r="AF85" s="1">
        <v>3.585866974846001</v>
      </c>
      <c r="AG85" s="1">
        <v>4.5783454803718184</v>
      </c>
      <c r="AH85" s="1">
        <v>-1.5637447384467451</v>
      </c>
      <c r="AI85" s="1">
        <v>0</v>
      </c>
      <c r="AJ85" s="1">
        <v>0</v>
      </c>
      <c r="AK85" s="1">
        <v>24.651739676107539</v>
      </c>
      <c r="AL85" s="1">
        <v>23.9</v>
      </c>
      <c r="AM85" s="1">
        <v>0.99536107942479657</v>
      </c>
      <c r="AN85" s="1">
        <v>-1.074267409802842</v>
      </c>
      <c r="AO85" s="1">
        <v>6.7154058891766057</v>
      </c>
      <c r="AP85" s="1">
        <v>-5.8854341933737997</v>
      </c>
      <c r="AQ85" s="1">
        <v>0</v>
      </c>
    </row>
    <row r="86" spans="1:43" ht="13" customHeight="1">
      <c r="A86" s="22">
        <v>41196</v>
      </c>
      <c r="B86" s="23">
        <v>0.52777777777777779</v>
      </c>
      <c r="C86" s="24">
        <v>24.3</v>
      </c>
      <c r="D86" s="24">
        <v>26.7</v>
      </c>
      <c r="E86" s="1">
        <v>1.2</v>
      </c>
      <c r="F86" s="24">
        <v>682.85714285714289</v>
      </c>
      <c r="G86" s="24">
        <v>101.4285714285714</v>
      </c>
      <c r="H86" s="24">
        <v>313.02903576407482</v>
      </c>
      <c r="I86" s="24">
        <v>555.8861786212176</v>
      </c>
      <c r="J86" s="25">
        <v>0.60899999999999999</v>
      </c>
      <c r="K86" s="25">
        <v>4.3999999999999997E-2</v>
      </c>
      <c r="L86" s="1">
        <v>0.6</v>
      </c>
      <c r="M86" s="1">
        <v>2</v>
      </c>
      <c r="O86" s="25">
        <v>0.97</v>
      </c>
      <c r="X86" s="1">
        <v>26.02969861431534</v>
      </c>
      <c r="Y86" s="1">
        <v>19.719820904519011</v>
      </c>
      <c r="Z86" s="1">
        <v>35.108541713157223</v>
      </c>
      <c r="AA86" s="1">
        <v>2.234061762082185</v>
      </c>
      <c r="AB86" s="1">
        <v>86.111164493551527</v>
      </c>
      <c r="AC86" s="1">
        <v>30.898309871544999</v>
      </c>
      <c r="AD86" s="1">
        <v>24.3</v>
      </c>
      <c r="AE86" s="1">
        <v>-0.11603780237217989</v>
      </c>
      <c r="AF86" s="1">
        <v>3.9343617457349822</v>
      </c>
      <c r="AG86" s="1">
        <v>4.5666661894237679</v>
      </c>
      <c r="AH86" s="1">
        <v>-1.7871509590033161</v>
      </c>
      <c r="AI86" s="1">
        <v>0</v>
      </c>
      <c r="AJ86" s="1">
        <v>0</v>
      </c>
      <c r="AK86" s="1">
        <v>25.100890595772199</v>
      </c>
      <c r="AL86" s="1">
        <v>24.3</v>
      </c>
      <c r="AM86" s="1">
        <v>0.9785572853414064</v>
      </c>
      <c r="AN86" s="1">
        <v>-0.44392772946154269</v>
      </c>
      <c r="AO86" s="1">
        <v>6.7011709324690969</v>
      </c>
      <c r="AP86" s="1">
        <v>-6.4356005991070218</v>
      </c>
      <c r="AQ86" s="1">
        <v>0</v>
      </c>
    </row>
    <row r="87" spans="1:43" ht="13" customHeight="1">
      <c r="A87" s="22">
        <v>41196</v>
      </c>
      <c r="B87" s="23">
        <v>0.53472222222222221</v>
      </c>
      <c r="C87" s="24">
        <v>24.9</v>
      </c>
      <c r="D87" s="24">
        <v>25.3</v>
      </c>
      <c r="E87" s="1">
        <v>1</v>
      </c>
      <c r="F87" s="24">
        <v>668.57142857142856</v>
      </c>
      <c r="G87" s="24">
        <v>98.571428571428569</v>
      </c>
      <c r="H87" s="24">
        <v>316.17425275891338</v>
      </c>
      <c r="I87" s="24">
        <v>557.60282418748488</v>
      </c>
      <c r="J87" s="25">
        <v>0.60899999999999999</v>
      </c>
      <c r="K87" s="25">
        <v>4.3999999999999997E-2</v>
      </c>
      <c r="L87" s="1">
        <v>0.6</v>
      </c>
      <c r="M87" s="1">
        <v>2</v>
      </c>
      <c r="O87" s="25">
        <v>0.97</v>
      </c>
      <c r="X87" s="1">
        <v>26.75765381069991</v>
      </c>
      <c r="Y87" s="1">
        <v>20.04051185852774</v>
      </c>
      <c r="Z87" s="1">
        <v>35.473124639303542</v>
      </c>
      <c r="AA87" s="1">
        <v>2.400590855105122</v>
      </c>
      <c r="AB87" s="1">
        <v>91.112782520186343</v>
      </c>
      <c r="AC87" s="1">
        <v>31.365111587871361</v>
      </c>
      <c r="AD87" s="1">
        <v>24.9</v>
      </c>
      <c r="AE87" s="1">
        <v>6.0647878221500653E-2</v>
      </c>
      <c r="AF87" s="1">
        <v>3.623517762617996</v>
      </c>
      <c r="AG87" s="1">
        <v>4.5598487938850303</v>
      </c>
      <c r="AH87" s="1">
        <v>-1.779415560242702</v>
      </c>
      <c r="AI87" s="1">
        <v>0</v>
      </c>
      <c r="AJ87" s="1">
        <v>0</v>
      </c>
      <c r="AK87" s="1">
        <v>25.496534465815252</v>
      </c>
      <c r="AL87" s="1">
        <v>24.9</v>
      </c>
      <c r="AM87" s="1">
        <v>1.2014922777438251</v>
      </c>
      <c r="AN87" s="1">
        <v>-0.66132122574834962</v>
      </c>
      <c r="AO87" s="1">
        <v>6.7076188014708213</v>
      </c>
      <c r="AP87" s="1">
        <v>-6.6520095981800313</v>
      </c>
      <c r="AQ87" s="1">
        <v>0</v>
      </c>
    </row>
    <row r="88" spans="1:43" ht="13" customHeight="1">
      <c r="A88" s="22">
        <v>41196</v>
      </c>
      <c r="B88" s="23">
        <v>0.54166666666666663</v>
      </c>
      <c r="C88" s="24">
        <v>25.4</v>
      </c>
      <c r="D88" s="24">
        <v>25.2</v>
      </c>
      <c r="E88" s="1">
        <v>0.8</v>
      </c>
      <c r="F88" s="24">
        <v>655.71428571428567</v>
      </c>
      <c r="G88" s="24">
        <v>92.857142857142861</v>
      </c>
      <c r="H88" s="24">
        <v>313.94802503931032</v>
      </c>
      <c r="I88" s="24">
        <v>553.94802503931032</v>
      </c>
      <c r="J88" s="25">
        <v>0.60899999999999999</v>
      </c>
      <c r="K88" s="25">
        <v>4.3999999999999997E-2</v>
      </c>
      <c r="L88" s="1">
        <v>0.6</v>
      </c>
      <c r="M88" s="1">
        <v>2</v>
      </c>
      <c r="O88" s="25">
        <v>0.97</v>
      </c>
      <c r="X88" s="1">
        <v>27.367667256034679</v>
      </c>
      <c r="Y88" s="1">
        <v>20.421352998250761</v>
      </c>
      <c r="Z88" s="1">
        <v>35.58296655915855</v>
      </c>
      <c r="AA88" s="1">
        <v>2.457720521966908</v>
      </c>
      <c r="AB88" s="1">
        <v>92.504597828626729</v>
      </c>
      <c r="AC88" s="1">
        <v>31.484460029054311</v>
      </c>
      <c r="AD88" s="1">
        <v>25.4</v>
      </c>
      <c r="AE88" s="1">
        <v>0.2286985899814542</v>
      </c>
      <c r="AF88" s="1">
        <v>2.8284261325831261</v>
      </c>
      <c r="AG88" s="1">
        <v>4.5540353857691533</v>
      </c>
      <c r="AH88" s="1">
        <v>-1.5272103771715739</v>
      </c>
      <c r="AI88" s="1">
        <v>0</v>
      </c>
      <c r="AJ88" s="1">
        <v>0</v>
      </c>
      <c r="AK88" s="1">
        <v>25.580915931928701</v>
      </c>
      <c r="AL88" s="1">
        <v>25.4</v>
      </c>
      <c r="AM88" s="1">
        <v>1.4015719810923091</v>
      </c>
      <c r="AN88" s="1">
        <v>-1.554762520641664</v>
      </c>
      <c r="AO88" s="1">
        <v>6.7080553041733557</v>
      </c>
      <c r="AP88" s="1">
        <v>-6.3747004971404966</v>
      </c>
      <c r="AQ88" s="1">
        <v>0</v>
      </c>
    </row>
    <row r="89" spans="1:43" ht="13" customHeight="1">
      <c r="A89" s="22">
        <v>41196</v>
      </c>
      <c r="B89" s="23">
        <v>0.54861111111111116</v>
      </c>
      <c r="C89" s="24">
        <v>24.5</v>
      </c>
      <c r="D89" s="24">
        <v>25.5</v>
      </c>
      <c r="E89" s="1">
        <v>1.2</v>
      </c>
      <c r="F89" s="24">
        <v>655.71428571428567</v>
      </c>
      <c r="G89" s="24">
        <v>94.285714285714292</v>
      </c>
      <c r="H89" s="24">
        <v>314.28525247150282</v>
      </c>
      <c r="I89" s="24">
        <v>548.57096675721698</v>
      </c>
      <c r="J89" s="25">
        <v>0.60899999999999999</v>
      </c>
      <c r="K89" s="25">
        <v>4.3999999999999997E-2</v>
      </c>
      <c r="L89" s="1">
        <v>0.6</v>
      </c>
      <c r="M89" s="1">
        <v>2</v>
      </c>
      <c r="O89" s="25">
        <v>0.97</v>
      </c>
      <c r="X89" s="1">
        <v>26.254217734735381</v>
      </c>
      <c r="Y89" s="1">
        <v>19.710452175947569</v>
      </c>
      <c r="Z89" s="1">
        <v>34.930701570264198</v>
      </c>
      <c r="AA89" s="1">
        <v>2.2126417367696272</v>
      </c>
      <c r="AB89" s="1">
        <v>85.36500890246009</v>
      </c>
      <c r="AC89" s="1">
        <v>30.64727820343105</v>
      </c>
      <c r="AD89" s="1">
        <v>24.5</v>
      </c>
      <c r="AE89" s="1">
        <v>-0.11544114888194799</v>
      </c>
      <c r="AF89" s="1">
        <v>3.4555297554706419</v>
      </c>
      <c r="AG89" s="1">
        <v>4.5344470848344676</v>
      </c>
      <c r="AH89" s="1">
        <v>-1.7277238722162711</v>
      </c>
      <c r="AI89" s="1">
        <v>0</v>
      </c>
      <c r="AJ89" s="1">
        <v>0</v>
      </c>
      <c r="AK89" s="1">
        <v>24.895731176493239</v>
      </c>
      <c r="AL89" s="1">
        <v>24.5</v>
      </c>
      <c r="AM89" s="1">
        <v>0.92755266412354531</v>
      </c>
      <c r="AN89" s="1">
        <v>-0.92596489503073087</v>
      </c>
      <c r="AO89" s="1">
        <v>6.6284104240157653</v>
      </c>
      <c r="AP89" s="1">
        <v>-6.2349487725151898</v>
      </c>
      <c r="AQ89" s="1">
        <v>0</v>
      </c>
    </row>
    <row r="90" spans="1:43" ht="13" customHeight="1">
      <c r="A90" s="22">
        <v>41196</v>
      </c>
      <c r="B90" s="23">
        <v>0.55555555555555558</v>
      </c>
      <c r="C90" s="24">
        <v>24.7</v>
      </c>
      <c r="D90" s="24">
        <v>25.8</v>
      </c>
      <c r="E90" s="1">
        <v>1.2</v>
      </c>
      <c r="F90" s="24">
        <v>650</v>
      </c>
      <c r="G90" s="24">
        <v>94.285714285714292</v>
      </c>
      <c r="H90" s="24">
        <v>314.11539065510482</v>
      </c>
      <c r="I90" s="24">
        <v>554.11539065510476</v>
      </c>
      <c r="J90" s="25">
        <v>0.60899999999999999</v>
      </c>
      <c r="K90" s="25">
        <v>4.3999999999999997E-2</v>
      </c>
      <c r="L90" s="1">
        <v>0.6</v>
      </c>
      <c r="M90" s="1">
        <v>2</v>
      </c>
      <c r="O90" s="25">
        <v>0.97</v>
      </c>
      <c r="X90" s="1">
        <v>26.478736855155422</v>
      </c>
      <c r="Y90" s="1">
        <v>19.895665033090431</v>
      </c>
      <c r="Z90" s="1">
        <v>35.145989442906952</v>
      </c>
      <c r="AA90" s="1">
        <v>2.2763214250748169</v>
      </c>
      <c r="AB90" s="1">
        <v>87.514876438168642</v>
      </c>
      <c r="AC90" s="1">
        <v>30.890369525826941</v>
      </c>
      <c r="AD90" s="1">
        <v>24.7</v>
      </c>
      <c r="AE90" s="1">
        <v>-0.113703451782807</v>
      </c>
      <c r="AF90" s="1">
        <v>3.572518011506189</v>
      </c>
      <c r="AG90" s="1">
        <v>4.5343482900043206</v>
      </c>
      <c r="AH90" s="1">
        <v>-1.8033022575354749</v>
      </c>
      <c r="AI90" s="1">
        <v>0</v>
      </c>
      <c r="AJ90" s="1">
        <v>0</v>
      </c>
      <c r="AK90" s="1">
        <v>25.103735404697371</v>
      </c>
      <c r="AL90" s="1">
        <v>24.7</v>
      </c>
      <c r="AM90" s="1">
        <v>0.9212298077075215</v>
      </c>
      <c r="AN90" s="1">
        <v>-0.69614612294751155</v>
      </c>
      <c r="AO90" s="1">
        <v>6.6326263130877878</v>
      </c>
      <c r="AP90" s="1">
        <v>-6.4547190367619196</v>
      </c>
      <c r="AQ90" s="1">
        <v>0</v>
      </c>
    </row>
    <row r="91" spans="1:43" ht="13" customHeight="1">
      <c r="A91" s="22">
        <v>41196</v>
      </c>
      <c r="B91" s="23">
        <v>0.5625</v>
      </c>
      <c r="C91" s="24">
        <v>25.4</v>
      </c>
      <c r="D91" s="24">
        <v>24.4</v>
      </c>
      <c r="E91" s="1">
        <v>1.1000000000000001</v>
      </c>
      <c r="F91" s="24">
        <v>642.85714285714289</v>
      </c>
      <c r="G91" s="24">
        <v>88.571428571428569</v>
      </c>
      <c r="H91" s="24">
        <v>316.97253351224771</v>
      </c>
      <c r="I91" s="24">
        <v>548.4011049408191</v>
      </c>
      <c r="J91" s="25">
        <v>0.60899999999999999</v>
      </c>
      <c r="K91" s="25">
        <v>4.3999999999999997E-2</v>
      </c>
      <c r="L91" s="1">
        <v>0.6</v>
      </c>
      <c r="M91" s="1">
        <v>2</v>
      </c>
      <c r="O91" s="25">
        <v>0.97</v>
      </c>
      <c r="X91" s="1">
        <v>27.28724874400778</v>
      </c>
      <c r="Y91" s="1">
        <v>20.298330410094799</v>
      </c>
      <c r="Z91" s="1">
        <v>35.436897746075047</v>
      </c>
      <c r="AA91" s="1">
        <v>2.390436200338955</v>
      </c>
      <c r="AB91" s="1">
        <v>90.84832160481389</v>
      </c>
      <c r="AC91" s="1">
        <v>30.980875694345951</v>
      </c>
      <c r="AD91" s="1">
        <v>25.4</v>
      </c>
      <c r="AE91" s="1">
        <v>-2.594643566024912E-2</v>
      </c>
      <c r="AF91" s="1">
        <v>2.8313384735438438</v>
      </c>
      <c r="AG91" s="1">
        <v>4.5288220957024459</v>
      </c>
      <c r="AH91" s="1">
        <v>-1.7538500501471419</v>
      </c>
      <c r="AI91" s="1">
        <v>0</v>
      </c>
      <c r="AJ91" s="1">
        <v>0</v>
      </c>
      <c r="AK91" s="1">
        <v>25.17315596703742</v>
      </c>
      <c r="AL91" s="1">
        <v>25.4</v>
      </c>
      <c r="AM91" s="1">
        <v>0.98117244146082327</v>
      </c>
      <c r="AN91" s="1">
        <v>-1.400205738032023</v>
      </c>
      <c r="AO91" s="1">
        <v>6.6279192858723723</v>
      </c>
      <c r="AP91" s="1">
        <v>-6.4364787634873073</v>
      </c>
      <c r="AQ91" s="1">
        <v>0</v>
      </c>
    </row>
    <row r="92" spans="1:43" ht="13" customHeight="1">
      <c r="A92" s="22">
        <v>41196</v>
      </c>
      <c r="B92" s="23">
        <v>0.56944444444444442</v>
      </c>
      <c r="C92" s="24">
        <v>24.7</v>
      </c>
      <c r="D92" s="24">
        <v>25.4</v>
      </c>
      <c r="E92" s="1">
        <v>1.5</v>
      </c>
      <c r="F92" s="24">
        <v>614.28571428571433</v>
      </c>
      <c r="G92" s="24">
        <v>82.857142857142861</v>
      </c>
      <c r="H92" s="24">
        <v>310.52406789091231</v>
      </c>
      <c r="I92" s="24">
        <v>534.80978217662664</v>
      </c>
      <c r="J92" s="25">
        <v>0.60899999999999999</v>
      </c>
      <c r="K92" s="25">
        <v>4.3999999999999997E-2</v>
      </c>
      <c r="L92" s="1">
        <v>0.6</v>
      </c>
      <c r="M92" s="1">
        <v>2</v>
      </c>
      <c r="O92" s="25">
        <v>0.97</v>
      </c>
      <c r="X92" s="1">
        <v>26.406320311803121</v>
      </c>
      <c r="Y92" s="1">
        <v>19.773617873505891</v>
      </c>
      <c r="Z92" s="1">
        <v>34.165265533818491</v>
      </c>
      <c r="AA92" s="1">
        <v>2.043132190127551</v>
      </c>
      <c r="AB92" s="1">
        <v>78.672450261822107</v>
      </c>
      <c r="AC92" s="1">
        <v>29.67563920390177</v>
      </c>
      <c r="AD92" s="1">
        <v>24.7</v>
      </c>
      <c r="AE92" s="1">
        <v>-0.36469857318228549</v>
      </c>
      <c r="AF92" s="1">
        <v>2.5247460214923421</v>
      </c>
      <c r="AG92" s="1">
        <v>4.4334152622148606</v>
      </c>
      <c r="AH92" s="1">
        <v>-1.618241892910679</v>
      </c>
      <c r="AI92" s="1">
        <v>0</v>
      </c>
      <c r="AJ92" s="1">
        <v>0</v>
      </c>
      <c r="AK92" s="1">
        <v>24.117095392270311</v>
      </c>
      <c r="AL92" s="1">
        <v>24.7</v>
      </c>
      <c r="AM92" s="1">
        <v>0.43054956265499478</v>
      </c>
      <c r="AN92" s="1">
        <v>-1.7525316314895349</v>
      </c>
      <c r="AO92" s="1">
        <v>6.3787008920951234</v>
      </c>
      <c r="AP92" s="1">
        <v>-5.640225396027942</v>
      </c>
      <c r="AQ92" s="1">
        <v>0</v>
      </c>
    </row>
    <row r="93" spans="1:43" ht="13" customHeight="1">
      <c r="A93" s="22">
        <v>41196</v>
      </c>
      <c r="B93" s="23">
        <v>0.57638888888888884</v>
      </c>
      <c r="C93" s="24">
        <v>24.4</v>
      </c>
      <c r="D93" s="24">
        <v>26.1</v>
      </c>
      <c r="E93" s="1">
        <v>1.6</v>
      </c>
      <c r="F93" s="24">
        <v>582.85714285714289</v>
      </c>
      <c r="G93" s="24">
        <v>82.857142857142861</v>
      </c>
      <c r="H93" s="24">
        <v>312.40186122028018</v>
      </c>
      <c r="I93" s="24">
        <v>539.54471836313735</v>
      </c>
      <c r="J93" s="25">
        <v>0.60899999999999999</v>
      </c>
      <c r="K93" s="25">
        <v>4.3999999999999997E-2</v>
      </c>
      <c r="L93" s="1">
        <v>0.6</v>
      </c>
      <c r="M93" s="1">
        <v>2</v>
      </c>
      <c r="O93" s="25">
        <v>0.97</v>
      </c>
      <c r="X93" s="1">
        <v>26.041029214862061</v>
      </c>
      <c r="Y93" s="1">
        <v>19.53495728221581</v>
      </c>
      <c r="Z93" s="1">
        <v>33.722030259452787</v>
      </c>
      <c r="AA93" s="1">
        <v>1.9691858599873351</v>
      </c>
      <c r="AB93" s="1">
        <v>75.350572758719238</v>
      </c>
      <c r="AC93" s="1">
        <v>29.689590730835761</v>
      </c>
      <c r="AD93" s="1">
        <v>24.4</v>
      </c>
      <c r="AE93" s="1">
        <v>-0.46858527617888729</v>
      </c>
      <c r="AF93" s="1">
        <v>3.1043039662923411</v>
      </c>
      <c r="AG93" s="1">
        <v>4.3559403466781301</v>
      </c>
      <c r="AH93" s="1">
        <v>-1.7024923263590159</v>
      </c>
      <c r="AI93" s="1">
        <v>0</v>
      </c>
      <c r="AJ93" s="1">
        <v>0</v>
      </c>
      <c r="AK93" s="1">
        <v>24.166099503355749</v>
      </c>
      <c r="AL93" s="1">
        <v>24.4</v>
      </c>
      <c r="AM93" s="1">
        <v>0.26733005845431868</v>
      </c>
      <c r="AN93" s="1">
        <v>-0.95354053035180752</v>
      </c>
      <c r="AO93" s="1">
        <v>6.2137851849447339</v>
      </c>
      <c r="AP93" s="1">
        <v>-5.7620800783282506</v>
      </c>
      <c r="AQ93" s="1">
        <v>0</v>
      </c>
    </row>
    <row r="94" spans="1:43" ht="13" customHeight="1">
      <c r="A94" s="22">
        <v>41196</v>
      </c>
      <c r="B94" s="23">
        <v>0.58333333333333337</v>
      </c>
      <c r="C94" s="24">
        <v>24.7</v>
      </c>
      <c r="D94" s="24">
        <v>27.8</v>
      </c>
      <c r="E94" s="1">
        <v>1.2</v>
      </c>
      <c r="F94" s="24">
        <v>467.14285714285722</v>
      </c>
      <c r="G94" s="24">
        <v>64.285714285714292</v>
      </c>
      <c r="H94" s="24">
        <v>314.0065205521438</v>
      </c>
      <c r="I94" s="24">
        <v>529.72080626642958</v>
      </c>
      <c r="J94" s="25">
        <v>0.60899999999999999</v>
      </c>
      <c r="K94" s="25">
        <v>4.3999999999999997E-2</v>
      </c>
      <c r="L94" s="1">
        <v>0.6</v>
      </c>
      <c r="M94" s="1">
        <v>2</v>
      </c>
      <c r="O94" s="25">
        <v>0.97</v>
      </c>
      <c r="X94" s="1">
        <v>26.478736855155422</v>
      </c>
      <c r="Y94" s="1">
        <v>19.65241726166186</v>
      </c>
      <c r="Z94" s="1">
        <v>32.352200108965818</v>
      </c>
      <c r="AA94" s="1">
        <v>1.889439579587594</v>
      </c>
      <c r="AB94" s="1">
        <v>71.535842608454686</v>
      </c>
      <c r="AC94" s="1">
        <v>29.402425262011629</v>
      </c>
      <c r="AD94" s="1">
        <v>24.7</v>
      </c>
      <c r="AE94" s="1">
        <v>-0.14617391772606059</v>
      </c>
      <c r="AF94" s="1">
        <v>2.1478593136918578</v>
      </c>
      <c r="AG94" s="1">
        <v>4.0069292279784507</v>
      </c>
      <c r="AH94" s="1">
        <v>-1.306607005976244</v>
      </c>
      <c r="AI94" s="1">
        <v>0</v>
      </c>
      <c r="AJ94" s="1">
        <v>0</v>
      </c>
      <c r="AK94" s="1">
        <v>24.02418496711514</v>
      </c>
      <c r="AL94" s="1">
        <v>24.7</v>
      </c>
      <c r="AM94" s="1">
        <v>0.50724798643534053</v>
      </c>
      <c r="AN94" s="1">
        <v>-1.537261407505099</v>
      </c>
      <c r="AO94" s="1">
        <v>5.5238136226080146</v>
      </c>
      <c r="AP94" s="1">
        <v>-5.1701909840124136</v>
      </c>
      <c r="AQ94" s="1">
        <v>0</v>
      </c>
    </row>
    <row r="95" spans="1:43" ht="13" customHeight="1">
      <c r="A95" s="22">
        <v>41196</v>
      </c>
      <c r="B95" s="23">
        <v>0.59027777777777779</v>
      </c>
      <c r="C95" s="24">
        <v>24.5</v>
      </c>
      <c r="D95" s="24">
        <v>27</v>
      </c>
      <c r="E95" s="1">
        <v>1.2</v>
      </c>
      <c r="F95" s="24">
        <v>547.14285714285711</v>
      </c>
      <c r="G95" s="24">
        <v>72.857142857142861</v>
      </c>
      <c r="H95" s="24">
        <v>312.93757566580189</v>
      </c>
      <c r="I95" s="24">
        <v>522.93757566580189</v>
      </c>
      <c r="J95" s="25">
        <v>0.60899999999999999</v>
      </c>
      <c r="K95" s="25">
        <v>4.3999999999999997E-2</v>
      </c>
      <c r="L95" s="1">
        <v>0.6</v>
      </c>
      <c r="M95" s="1">
        <v>2</v>
      </c>
      <c r="O95" s="25">
        <v>0.97</v>
      </c>
      <c r="X95" s="1">
        <v>26.254217734735381</v>
      </c>
      <c r="Y95" s="1">
        <v>19.641782061661861</v>
      </c>
      <c r="Z95" s="1">
        <v>33.39532037028669</v>
      </c>
      <c r="AA95" s="1">
        <v>1.958794753417205</v>
      </c>
      <c r="AB95" s="1">
        <v>74.866406005569246</v>
      </c>
      <c r="AC95" s="1">
        <v>29.39546670031158</v>
      </c>
      <c r="AD95" s="1">
        <v>24.5</v>
      </c>
      <c r="AE95" s="1">
        <v>-0.12742132072264811</v>
      </c>
      <c r="AF95" s="1">
        <v>1.994322567986635</v>
      </c>
      <c r="AG95" s="1">
        <v>4.3054353126838629</v>
      </c>
      <c r="AH95" s="1">
        <v>-1.277278747994832</v>
      </c>
      <c r="AI95" s="1">
        <v>0</v>
      </c>
      <c r="AJ95" s="1">
        <v>0</v>
      </c>
      <c r="AK95" s="1">
        <v>23.90485309574542</v>
      </c>
      <c r="AL95" s="1">
        <v>24.5</v>
      </c>
      <c r="AM95" s="1">
        <v>0.71686154113608502</v>
      </c>
      <c r="AN95" s="1">
        <v>-2.3589589879139812</v>
      </c>
      <c r="AO95" s="1">
        <v>6.1266941821930461</v>
      </c>
      <c r="AP95" s="1">
        <v>-5.0803254934767166</v>
      </c>
      <c r="AQ95" s="1">
        <v>0</v>
      </c>
    </row>
    <row r="96" spans="1:43" ht="13" customHeight="1">
      <c r="A96" s="22">
        <v>41196</v>
      </c>
      <c r="B96" s="23">
        <v>0.59722222222222221</v>
      </c>
      <c r="C96" s="24">
        <v>24.4</v>
      </c>
      <c r="D96" s="24">
        <v>30.6</v>
      </c>
      <c r="E96" s="1">
        <v>1.3</v>
      </c>
      <c r="F96" s="24">
        <v>521.42857142857144</v>
      </c>
      <c r="G96" s="24">
        <v>71.428571428571431</v>
      </c>
      <c r="H96" s="24">
        <v>313.20388009628402</v>
      </c>
      <c r="I96" s="24">
        <v>521.77530866771258</v>
      </c>
      <c r="J96" s="25">
        <v>0.60899999999999999</v>
      </c>
      <c r="K96" s="25">
        <v>4.3999999999999997E-2</v>
      </c>
      <c r="L96" s="1">
        <v>0.6</v>
      </c>
      <c r="M96" s="1">
        <v>2</v>
      </c>
      <c r="O96" s="25">
        <v>0.97</v>
      </c>
      <c r="X96" s="1">
        <v>26.11434125280903</v>
      </c>
      <c r="Y96" s="1">
        <v>19.876864613228911</v>
      </c>
      <c r="Z96" s="1">
        <v>33.02029478298995</v>
      </c>
      <c r="AA96" s="1">
        <v>1.894128419480483</v>
      </c>
      <c r="AB96" s="1">
        <v>71.766130494190293</v>
      </c>
      <c r="AC96" s="1">
        <v>29.25252440604698</v>
      </c>
      <c r="AD96" s="1">
        <v>24.4</v>
      </c>
      <c r="AE96" s="1">
        <v>-0.22392964729987561</v>
      </c>
      <c r="AF96" s="1">
        <v>2.0635594019023991</v>
      </c>
      <c r="AG96" s="1">
        <v>4.2246832134390067</v>
      </c>
      <c r="AH96" s="1">
        <v>-1.212164655774669</v>
      </c>
      <c r="AI96" s="1">
        <v>0</v>
      </c>
      <c r="AJ96" s="1">
        <v>0</v>
      </c>
      <c r="AK96" s="1">
        <v>23.808510530272169</v>
      </c>
      <c r="AL96" s="1">
        <v>24.4</v>
      </c>
      <c r="AM96" s="1">
        <v>0.53056953441212606</v>
      </c>
      <c r="AN96" s="1">
        <v>-2.118138201165348</v>
      </c>
      <c r="AO96" s="1">
        <v>5.9516080771565676</v>
      </c>
      <c r="AP96" s="1">
        <v>-4.9560587098642683</v>
      </c>
      <c r="AQ96" s="1">
        <v>0</v>
      </c>
    </row>
    <row r="97" spans="1:43" ht="13" customHeight="1">
      <c r="A97" s="22">
        <v>41196</v>
      </c>
      <c r="B97" s="23">
        <v>0.60416666666666663</v>
      </c>
      <c r="C97" s="24">
        <v>24.6</v>
      </c>
      <c r="D97" s="24">
        <v>29.4</v>
      </c>
      <c r="E97" s="1">
        <v>0.9</v>
      </c>
      <c r="F97" s="24">
        <v>480</v>
      </c>
      <c r="G97" s="24">
        <v>65.714285714285708</v>
      </c>
      <c r="H97" s="24">
        <v>316.86366340928669</v>
      </c>
      <c r="I97" s="24">
        <v>516.86366340928669</v>
      </c>
      <c r="J97" s="25">
        <v>0.60899999999999999</v>
      </c>
      <c r="K97" s="25">
        <v>4.3999999999999997E-2</v>
      </c>
      <c r="L97" s="1">
        <v>0.6</v>
      </c>
      <c r="M97" s="1">
        <v>2</v>
      </c>
      <c r="O97" s="25">
        <v>0.97</v>
      </c>
      <c r="X97" s="1">
        <v>26.45835743538019</v>
      </c>
      <c r="Y97" s="1">
        <v>19.799929249817819</v>
      </c>
      <c r="Z97" s="1">
        <v>32.676128999819973</v>
      </c>
      <c r="AA97" s="1">
        <v>1.9402136834905539</v>
      </c>
      <c r="AB97" s="1">
        <v>73.990636463917014</v>
      </c>
      <c r="AC97" s="1">
        <v>29.472837758769099</v>
      </c>
      <c r="AD97" s="1">
        <v>24.6</v>
      </c>
      <c r="AE97" s="1">
        <v>0.1471803943145818</v>
      </c>
      <c r="AF97" s="1">
        <v>1.558808275424705</v>
      </c>
      <c r="AG97" s="1">
        <v>4.1234380844844987</v>
      </c>
      <c r="AH97" s="1">
        <v>-0.95699711570208301</v>
      </c>
      <c r="AI97" s="1">
        <v>0</v>
      </c>
      <c r="AJ97" s="1">
        <v>0</v>
      </c>
      <c r="AK97" s="1">
        <v>24.00240490553848</v>
      </c>
      <c r="AL97" s="1">
        <v>24.6</v>
      </c>
      <c r="AM97" s="1">
        <v>1.0026558839214801</v>
      </c>
      <c r="AN97" s="1">
        <v>-2.632666727680987</v>
      </c>
      <c r="AO97" s="1">
        <v>5.7730325965835059</v>
      </c>
      <c r="AP97" s="1">
        <v>-4.7411882373350371</v>
      </c>
      <c r="AQ97" s="1">
        <v>0</v>
      </c>
    </row>
    <row r="98" spans="1:43" ht="13" customHeight="1">
      <c r="A98" s="22">
        <v>41196</v>
      </c>
      <c r="B98" s="23">
        <v>0.61111111111111116</v>
      </c>
      <c r="C98" s="24">
        <v>24.8</v>
      </c>
      <c r="D98" s="24">
        <v>30.3</v>
      </c>
      <c r="E98" s="1">
        <v>0.9</v>
      </c>
      <c r="F98" s="24">
        <v>395.71428571428572</v>
      </c>
      <c r="G98" s="24">
        <v>55.714285714285722</v>
      </c>
      <c r="H98" s="24">
        <v>320.88617499801711</v>
      </c>
      <c r="I98" s="24">
        <v>506.60046071230278</v>
      </c>
      <c r="J98" s="25">
        <v>0.60899999999999999</v>
      </c>
      <c r="K98" s="25">
        <v>4.3999999999999997E-2</v>
      </c>
      <c r="L98" s="1">
        <v>0.6</v>
      </c>
      <c r="M98" s="1">
        <v>2</v>
      </c>
      <c r="O98" s="25">
        <v>0.97</v>
      </c>
      <c r="X98" s="1">
        <v>26.678368112550139</v>
      </c>
      <c r="Y98" s="1">
        <v>19.757113492674971</v>
      </c>
      <c r="Z98" s="1">
        <v>31.197341206890371</v>
      </c>
      <c r="AA98" s="1">
        <v>1.770554584322332</v>
      </c>
      <c r="AB98" s="1">
        <v>65.488989037386972</v>
      </c>
      <c r="AC98" s="1">
        <v>28.885963488921551</v>
      </c>
      <c r="AD98" s="1">
        <v>24.8</v>
      </c>
      <c r="AE98" s="1">
        <v>0.1412881808408922</v>
      </c>
      <c r="AF98" s="1">
        <v>0.98387191028786025</v>
      </c>
      <c r="AG98" s="1">
        <v>3.7719469771337102</v>
      </c>
      <c r="AH98" s="1">
        <v>-0.8115157643754265</v>
      </c>
      <c r="AI98" s="1">
        <v>0</v>
      </c>
      <c r="AJ98" s="1">
        <v>0</v>
      </c>
      <c r="AK98" s="1">
        <v>23.665491907884789</v>
      </c>
      <c r="AL98" s="1">
        <v>24.8</v>
      </c>
      <c r="AM98" s="1">
        <v>0.74282451124808468</v>
      </c>
      <c r="AN98" s="1">
        <v>-2.565330581106037</v>
      </c>
      <c r="AO98" s="1">
        <v>5.0681538617660067</v>
      </c>
      <c r="AP98" s="1">
        <v>-4.3806559682055797</v>
      </c>
      <c r="AQ98" s="1">
        <v>0</v>
      </c>
    </row>
    <row r="99" spans="1:43" ht="13" customHeight="1">
      <c r="A99" s="22">
        <v>41196</v>
      </c>
      <c r="B99" s="23">
        <v>0.61805555555555558</v>
      </c>
      <c r="C99" s="24">
        <v>24.3</v>
      </c>
      <c r="D99" s="24">
        <v>31.2</v>
      </c>
      <c r="E99" s="1">
        <v>1</v>
      </c>
      <c r="F99" s="24">
        <v>481.42857142857139</v>
      </c>
      <c r="G99" s="24">
        <v>64.285714285714292</v>
      </c>
      <c r="H99" s="24">
        <v>314.54967915901312</v>
      </c>
      <c r="I99" s="24">
        <v>505.97825058758463</v>
      </c>
      <c r="J99" s="25">
        <v>0.60899999999999999</v>
      </c>
      <c r="K99" s="25">
        <v>4.3999999999999997E-2</v>
      </c>
      <c r="L99" s="1">
        <v>0.6</v>
      </c>
      <c r="M99" s="1">
        <v>2</v>
      </c>
      <c r="O99" s="25">
        <v>0.97</v>
      </c>
      <c r="X99" s="1">
        <v>26.092740369538721</v>
      </c>
      <c r="Y99" s="1">
        <v>19.74937672995631</v>
      </c>
      <c r="Z99" s="1">
        <v>32.387975135364023</v>
      </c>
      <c r="AA99" s="1">
        <v>1.8270501623978981</v>
      </c>
      <c r="AB99" s="1">
        <v>68.408830240458698</v>
      </c>
      <c r="AC99" s="1">
        <v>28.824160976050528</v>
      </c>
      <c r="AD99" s="1">
        <v>24.3</v>
      </c>
      <c r="AE99" s="1">
        <v>4.9915298974896563E-2</v>
      </c>
      <c r="AF99" s="1">
        <v>1.1696608842520451</v>
      </c>
      <c r="AG99" s="1">
        <v>4.1443041971767851</v>
      </c>
      <c r="AH99" s="1">
        <v>-0.84005088431585373</v>
      </c>
      <c r="AI99" s="1">
        <v>0</v>
      </c>
      <c r="AJ99" s="1">
        <v>0</v>
      </c>
      <c r="AK99" s="1">
        <v>23.462473754610471</v>
      </c>
      <c r="AL99" s="1">
        <v>24.3</v>
      </c>
      <c r="AM99" s="1">
        <v>0.86870424378070332</v>
      </c>
      <c r="AN99" s="1">
        <v>-3.2041158259782252</v>
      </c>
      <c r="AO99" s="1">
        <v>5.797520958798974</v>
      </c>
      <c r="AP99" s="1">
        <v>-4.3000993336152629</v>
      </c>
      <c r="AQ99" s="1">
        <v>0</v>
      </c>
    </row>
    <row r="100" spans="1:43" ht="13" customHeight="1">
      <c r="A100" s="22">
        <v>41196</v>
      </c>
      <c r="B100" s="23">
        <v>0.625</v>
      </c>
      <c r="C100" s="24">
        <v>24.5</v>
      </c>
      <c r="D100" s="24">
        <v>30.2</v>
      </c>
      <c r="E100" s="1">
        <v>1.1000000000000001</v>
      </c>
      <c r="F100" s="24">
        <v>435.71428571428572</v>
      </c>
      <c r="G100" s="24">
        <v>57.142857142857153</v>
      </c>
      <c r="H100" s="24">
        <v>318.8353934447274</v>
      </c>
      <c r="I100" s="24">
        <v>503.12110773044168</v>
      </c>
      <c r="J100" s="25">
        <v>0.60899999999999999</v>
      </c>
      <c r="K100" s="25">
        <v>4.3999999999999997E-2</v>
      </c>
      <c r="L100" s="1">
        <v>0.6</v>
      </c>
      <c r="M100" s="1">
        <v>2</v>
      </c>
      <c r="O100" s="25">
        <v>0.97</v>
      </c>
      <c r="X100" s="1">
        <v>26.283147746470771</v>
      </c>
      <c r="Y100" s="1">
        <v>19.644455281523371</v>
      </c>
      <c r="Z100" s="1">
        <v>31.545981543815721</v>
      </c>
      <c r="AA100" s="1">
        <v>1.733937829916206</v>
      </c>
      <c r="AB100" s="1">
        <v>63.560093472031369</v>
      </c>
      <c r="AC100" s="1">
        <v>28.566834005533021</v>
      </c>
      <c r="AD100" s="1">
        <v>24.5</v>
      </c>
      <c r="AE100" s="1">
        <v>-5.617057048165236E-2</v>
      </c>
      <c r="AF100" s="1">
        <v>1.1112777887356371</v>
      </c>
      <c r="AG100" s="1">
        <v>3.9292135261776679</v>
      </c>
      <c r="AH100" s="1">
        <v>-0.9178217661984317</v>
      </c>
      <c r="AI100" s="1">
        <v>0</v>
      </c>
      <c r="AJ100" s="1">
        <v>0</v>
      </c>
      <c r="AK100" s="1">
        <v>23.36139825260042</v>
      </c>
      <c r="AL100" s="1">
        <v>24.5</v>
      </c>
      <c r="AM100" s="1">
        <v>0.56732405825975596</v>
      </c>
      <c r="AN100" s="1">
        <v>-2.733122853099355</v>
      </c>
      <c r="AO100" s="1">
        <v>5.3590455466612203</v>
      </c>
      <c r="AP100" s="1">
        <v>-4.3323054422065912</v>
      </c>
      <c r="AQ100" s="1">
        <v>0</v>
      </c>
    </row>
    <row r="101" spans="1:43" ht="13" customHeight="1">
      <c r="A101" s="22">
        <v>41196</v>
      </c>
      <c r="B101" s="23">
        <v>0.63194444444444442</v>
      </c>
      <c r="C101" s="24">
        <v>24.3</v>
      </c>
      <c r="D101" s="24">
        <v>28</v>
      </c>
      <c r="E101" s="1">
        <v>1.2</v>
      </c>
      <c r="F101" s="24">
        <v>371.42857142857139</v>
      </c>
      <c r="G101" s="24">
        <v>50</v>
      </c>
      <c r="H101" s="24">
        <v>312.68675936833841</v>
      </c>
      <c r="I101" s="24">
        <v>496.97247365405269</v>
      </c>
      <c r="J101" s="25">
        <v>0.60899999999999999</v>
      </c>
      <c r="K101" s="25">
        <v>4.3999999999999997E-2</v>
      </c>
      <c r="L101" s="1">
        <v>0.6</v>
      </c>
      <c r="M101" s="1">
        <v>2</v>
      </c>
      <c r="O101" s="25">
        <v>0.97</v>
      </c>
      <c r="X101" s="1">
        <v>26.02969861431534</v>
      </c>
      <c r="Y101" s="1">
        <v>18.98413061880472</v>
      </c>
      <c r="Z101" s="1">
        <v>29.80979537043337</v>
      </c>
      <c r="AA101" s="1">
        <v>1.4589099482084591</v>
      </c>
      <c r="AB101" s="1">
        <v>48.673963762645002</v>
      </c>
      <c r="AC101" s="1">
        <v>27.521155549424449</v>
      </c>
      <c r="AD101" s="1">
        <v>24.3</v>
      </c>
      <c r="AE101" s="1">
        <v>-0.1790431218360764</v>
      </c>
      <c r="AF101" s="1">
        <v>0.64240048878883971</v>
      </c>
      <c r="AG101" s="1">
        <v>3.623147483329527</v>
      </c>
      <c r="AH101" s="1">
        <v>-0.86562219094982573</v>
      </c>
      <c r="AI101" s="1">
        <v>0</v>
      </c>
      <c r="AJ101" s="1">
        <v>0</v>
      </c>
      <c r="AK101" s="1">
        <v>22.71371345182024</v>
      </c>
      <c r="AL101" s="1">
        <v>24.3</v>
      </c>
      <c r="AM101" s="1">
        <v>0.2000355972975541</v>
      </c>
      <c r="AN101" s="1">
        <v>-2.6544659854535508</v>
      </c>
      <c r="AO101" s="1">
        <v>4.7511292549451456</v>
      </c>
      <c r="AP101" s="1">
        <v>-3.883343262974162</v>
      </c>
      <c r="AQ101" s="1">
        <v>0</v>
      </c>
    </row>
    <row r="102" spans="1:43" ht="13" customHeight="1">
      <c r="A102" s="22">
        <v>41196</v>
      </c>
      <c r="B102" s="23">
        <v>0.63888888888888884</v>
      </c>
      <c r="C102" s="24">
        <v>24.3</v>
      </c>
      <c r="D102" s="24">
        <v>31</v>
      </c>
      <c r="E102" s="1">
        <v>1.5</v>
      </c>
      <c r="F102" s="24">
        <v>344.28571428571428</v>
      </c>
      <c r="G102" s="24">
        <v>48.571428571428569</v>
      </c>
      <c r="H102" s="24">
        <v>311.44790089300972</v>
      </c>
      <c r="I102" s="24">
        <v>494.30504375015249</v>
      </c>
      <c r="J102" s="25">
        <v>0.60899999999999999</v>
      </c>
      <c r="K102" s="25">
        <v>4.3999999999999997E-2</v>
      </c>
      <c r="L102" s="1">
        <v>0.6</v>
      </c>
      <c r="M102" s="1">
        <v>2</v>
      </c>
      <c r="O102" s="25">
        <v>0.97</v>
      </c>
      <c r="X102" s="1">
        <v>25.949996547301851</v>
      </c>
      <c r="Y102" s="1">
        <v>19.179030973505899</v>
      </c>
      <c r="Z102" s="1">
        <v>29.05444676957018</v>
      </c>
      <c r="AA102" s="1">
        <v>1.3282616562819289</v>
      </c>
      <c r="AB102" s="1">
        <v>41.730877911819199</v>
      </c>
      <c r="AC102" s="1">
        <v>27.04102845489253</v>
      </c>
      <c r="AD102" s="1">
        <v>24.3</v>
      </c>
      <c r="AE102" s="1">
        <v>-0.49747313294528961</v>
      </c>
      <c r="AF102" s="1">
        <v>0.66146330838583456</v>
      </c>
      <c r="AG102" s="1">
        <v>3.4562124577126832</v>
      </c>
      <c r="AH102" s="1">
        <v>-0.87942269279193852</v>
      </c>
      <c r="AI102" s="1">
        <v>0</v>
      </c>
      <c r="AJ102" s="1">
        <v>0</v>
      </c>
      <c r="AK102" s="1">
        <v>22.448625845923971</v>
      </c>
      <c r="AL102" s="1">
        <v>24.3</v>
      </c>
      <c r="AM102" s="1">
        <v>-0.32792128397133252</v>
      </c>
      <c r="AN102" s="1">
        <v>-2.1857539568102178</v>
      </c>
      <c r="AO102" s="1">
        <v>4.4229476650433632</v>
      </c>
      <c r="AP102" s="1">
        <v>-3.7609646047263992</v>
      </c>
      <c r="AQ102" s="1">
        <v>0</v>
      </c>
    </row>
    <row r="103" spans="1:43" ht="13" customHeight="1">
      <c r="A103" s="22">
        <v>41196</v>
      </c>
      <c r="B103" s="23">
        <v>0.64583333333333337</v>
      </c>
      <c r="C103" s="24">
        <v>24.2</v>
      </c>
      <c r="D103" s="24">
        <v>30.8</v>
      </c>
      <c r="E103" s="1">
        <v>1</v>
      </c>
      <c r="F103" s="24">
        <v>298.57142857142861</v>
      </c>
      <c r="G103" s="24">
        <v>41.428571428571431</v>
      </c>
      <c r="H103" s="24">
        <v>306.92357724682211</v>
      </c>
      <c r="I103" s="24">
        <v>479.78072010396488</v>
      </c>
      <c r="J103" s="25">
        <v>0.60899999999999999</v>
      </c>
      <c r="K103" s="25">
        <v>4.3999999999999997E-2</v>
      </c>
      <c r="L103" s="1">
        <v>0.6</v>
      </c>
      <c r="M103" s="1">
        <v>2</v>
      </c>
      <c r="O103" s="25">
        <v>0.97</v>
      </c>
      <c r="X103" s="1">
        <v>25.98192146267851</v>
      </c>
      <c r="Y103" s="1">
        <v>18.880310558527739</v>
      </c>
      <c r="Z103" s="1">
        <v>28.0456309221026</v>
      </c>
      <c r="AA103" s="1">
        <v>1.2160167829759141</v>
      </c>
      <c r="AB103" s="1">
        <v>36.033850731940269</v>
      </c>
      <c r="AC103" s="1">
        <v>26.38509110903393</v>
      </c>
      <c r="AD103" s="1">
        <v>24.2</v>
      </c>
      <c r="AE103" s="1">
        <v>1.5038256381919791E-2</v>
      </c>
      <c r="AF103" s="1">
        <v>-0.65137829417780069</v>
      </c>
      <c r="AG103" s="1">
        <v>3.2790823104975781</v>
      </c>
      <c r="AH103" s="1">
        <v>-0.45778274065184821</v>
      </c>
      <c r="AI103" s="1">
        <v>0</v>
      </c>
      <c r="AJ103" s="1">
        <v>0</v>
      </c>
      <c r="AK103" s="1">
        <v>22.018862824918379</v>
      </c>
      <c r="AL103" s="1">
        <v>24.2</v>
      </c>
      <c r="AM103" s="1">
        <v>0.23089417287017891</v>
      </c>
      <c r="AN103" s="1">
        <v>-3.4793827923951999</v>
      </c>
      <c r="AO103" s="1">
        <v>4.1167352881924044</v>
      </c>
      <c r="AP103" s="1">
        <v>-3.049549032531313</v>
      </c>
      <c r="AQ103" s="1">
        <v>0</v>
      </c>
    </row>
    <row r="104" spans="1:43" ht="13" customHeight="1">
      <c r="A104" s="22">
        <v>41196</v>
      </c>
      <c r="B104" s="23">
        <v>0.65277777777777779</v>
      </c>
      <c r="C104" s="24">
        <v>23.7</v>
      </c>
      <c r="D104" s="24">
        <v>31.1</v>
      </c>
      <c r="E104" s="1">
        <v>1.8</v>
      </c>
      <c r="F104" s="24">
        <v>277.14285714285722</v>
      </c>
      <c r="G104" s="24">
        <v>48.571428571428569</v>
      </c>
      <c r="H104" s="24">
        <v>306.12306536713658</v>
      </c>
      <c r="I104" s="24">
        <v>474.69449393856519</v>
      </c>
      <c r="J104" s="25">
        <v>0.60899999999999999</v>
      </c>
      <c r="K104" s="25">
        <v>4.3999999999999997E-2</v>
      </c>
      <c r="L104" s="1">
        <v>0.6</v>
      </c>
      <c r="M104" s="1">
        <v>2</v>
      </c>
      <c r="O104" s="25">
        <v>0.97</v>
      </c>
      <c r="X104" s="1">
        <v>25.18902049168614</v>
      </c>
      <c r="Y104" s="1">
        <v>18.361063528207069</v>
      </c>
      <c r="Z104" s="1">
        <v>26.568104790644771</v>
      </c>
      <c r="AA104" s="1">
        <v>0.8970478724882589</v>
      </c>
      <c r="AB104" s="1">
        <v>21.991166852661959</v>
      </c>
      <c r="AC104" s="1">
        <v>25.28893186931376</v>
      </c>
      <c r="AD104" s="1">
        <v>23.7</v>
      </c>
      <c r="AE104" s="1">
        <v>-0.87701087681218259</v>
      </c>
      <c r="AF104" s="1">
        <v>0.11087568924356279</v>
      </c>
      <c r="AG104" s="1">
        <v>3.0866212807551632</v>
      </c>
      <c r="AH104" s="1">
        <v>-0.73158088626558404</v>
      </c>
      <c r="AI104" s="1">
        <v>0</v>
      </c>
      <c r="AJ104" s="1">
        <v>0</v>
      </c>
      <c r="AK104" s="1">
        <v>21.386432721687491</v>
      </c>
      <c r="AL104" s="1">
        <v>23.7</v>
      </c>
      <c r="AM104" s="1">
        <v>-1.009593190839575</v>
      </c>
      <c r="AN104" s="1">
        <v>-2.0129846845076909</v>
      </c>
      <c r="AO104" s="1">
        <v>3.746284248471647</v>
      </c>
      <c r="AP104" s="1">
        <v>-3.037306012032341</v>
      </c>
      <c r="AQ104" s="1">
        <v>0</v>
      </c>
    </row>
    <row r="105" spans="1:43" ht="13" customHeight="1">
      <c r="A105" s="22">
        <v>41196</v>
      </c>
      <c r="B105" s="23">
        <v>0.65972222222222221</v>
      </c>
      <c r="C105" s="24">
        <v>23.5</v>
      </c>
      <c r="D105" s="24">
        <v>31</v>
      </c>
      <c r="E105" s="1">
        <v>1.8</v>
      </c>
      <c r="F105" s="24">
        <v>180</v>
      </c>
      <c r="G105" s="24">
        <v>30</v>
      </c>
      <c r="H105" s="24">
        <v>308.58818336339982</v>
      </c>
      <c r="I105" s="24">
        <v>468.58818336339982</v>
      </c>
      <c r="J105" s="25">
        <v>0.60899999999999999</v>
      </c>
      <c r="K105" s="25">
        <v>4.3999999999999997E-2</v>
      </c>
      <c r="L105" s="1">
        <v>0.6</v>
      </c>
      <c r="M105" s="1">
        <v>2</v>
      </c>
      <c r="O105" s="25">
        <v>0.97</v>
      </c>
      <c r="X105" s="1">
        <v>24.957784183107979</v>
      </c>
      <c r="Y105" s="1">
        <v>17.64753569963565</v>
      </c>
      <c r="Z105" s="1">
        <v>24.09508507024437</v>
      </c>
      <c r="AA105" s="1">
        <v>0.56512261777673423</v>
      </c>
      <c r="AB105" s="1">
        <v>11.688729283516031</v>
      </c>
      <c r="AC105" s="1">
        <v>24.173529118471372</v>
      </c>
      <c r="AD105" s="1">
        <v>23.5</v>
      </c>
      <c r="AE105" s="1">
        <v>-1.05789419836594</v>
      </c>
      <c r="AF105" s="1">
        <v>4.5065550520440263E-2</v>
      </c>
      <c r="AG105" s="1">
        <v>2.3540457936617072</v>
      </c>
      <c r="AH105" s="1">
        <v>-0.66773732214530668</v>
      </c>
      <c r="AI105" s="1">
        <v>0</v>
      </c>
      <c r="AJ105" s="1">
        <v>0</v>
      </c>
      <c r="AK105" s="1">
        <v>21.076120591607289</v>
      </c>
      <c r="AL105" s="1">
        <v>23.5</v>
      </c>
      <c r="AM105" s="1">
        <v>-1.5205085658641651</v>
      </c>
      <c r="AN105" s="1">
        <v>-0.68330622598738366</v>
      </c>
      <c r="AO105" s="1">
        <v>2.6135128711078028</v>
      </c>
      <c r="AP105" s="1">
        <v>-2.8336322158094158</v>
      </c>
      <c r="AQ105" s="1">
        <v>0</v>
      </c>
    </row>
    <row r="106" spans="1:43" ht="13" customHeight="1">
      <c r="A106" s="22">
        <v>41196</v>
      </c>
      <c r="B106" s="23">
        <v>0.66666666666666663</v>
      </c>
      <c r="C106" s="24">
        <v>23.6</v>
      </c>
      <c r="D106" s="24">
        <v>30.8</v>
      </c>
      <c r="E106" s="1">
        <v>1.5</v>
      </c>
      <c r="F106" s="24">
        <v>167.14285714285711</v>
      </c>
      <c r="G106" s="24">
        <v>30</v>
      </c>
      <c r="H106" s="24">
        <v>309.93184434574817</v>
      </c>
      <c r="I106" s="24">
        <v>459.93184434574817</v>
      </c>
      <c r="J106" s="25">
        <v>0.60899999999999999</v>
      </c>
      <c r="K106" s="25">
        <v>4.3999999999999997E-2</v>
      </c>
      <c r="L106" s="1">
        <v>0.6</v>
      </c>
      <c r="M106" s="1">
        <v>2</v>
      </c>
      <c r="O106" s="25">
        <v>0.97</v>
      </c>
      <c r="X106" s="1">
        <v>25.151429959424629</v>
      </c>
      <c r="Y106" s="1">
        <v>17.64309874493447</v>
      </c>
      <c r="Z106" s="1">
        <v>24.065821098608641</v>
      </c>
      <c r="AA106" s="1">
        <v>0.56879065681049612</v>
      </c>
      <c r="AB106" s="1">
        <v>11.776639501992429</v>
      </c>
      <c r="AC106" s="1">
        <v>24.095081847686249</v>
      </c>
      <c r="AD106" s="1">
        <v>23.6</v>
      </c>
      <c r="AE106" s="1">
        <v>-0.7081534362979901</v>
      </c>
      <c r="AF106" s="1">
        <v>-0.56950320150776479</v>
      </c>
      <c r="AG106" s="1">
        <v>2.3082315568403962</v>
      </c>
      <c r="AH106" s="1">
        <v>-0.53554810522762897</v>
      </c>
      <c r="AI106" s="1">
        <v>0</v>
      </c>
      <c r="AJ106" s="1">
        <v>0</v>
      </c>
      <c r="AK106" s="1">
        <v>21.030689965014631</v>
      </c>
      <c r="AL106" s="1">
        <v>23.6</v>
      </c>
      <c r="AM106" s="1">
        <v>-1.14140401069339</v>
      </c>
      <c r="AN106" s="1">
        <v>-1.2900229244893471</v>
      </c>
      <c r="AO106" s="1">
        <v>2.5520071450432762</v>
      </c>
      <c r="AP106" s="1">
        <v>-2.6899510909308928</v>
      </c>
      <c r="AQ106" s="1">
        <v>0</v>
      </c>
    </row>
    <row r="107" spans="1:43" ht="13" customHeight="1">
      <c r="A107" s="22">
        <v>41196</v>
      </c>
      <c r="B107" s="23">
        <v>0.67361111111111116</v>
      </c>
      <c r="C107" s="24">
        <v>23.2</v>
      </c>
      <c r="D107" s="24">
        <v>32</v>
      </c>
      <c r="E107" s="1">
        <v>1.6</v>
      </c>
      <c r="F107" s="24">
        <v>148.57142857142861</v>
      </c>
      <c r="G107" s="24">
        <v>27.142857142857139</v>
      </c>
      <c r="H107" s="24">
        <v>308.73568026887028</v>
      </c>
      <c r="I107" s="24">
        <v>457.30710884029889</v>
      </c>
      <c r="J107" s="25">
        <v>0.60899999999999999</v>
      </c>
      <c r="K107" s="25">
        <v>4.3999999999999997E-2</v>
      </c>
      <c r="L107" s="1">
        <v>0.6</v>
      </c>
      <c r="M107" s="1">
        <v>2</v>
      </c>
      <c r="O107" s="25">
        <v>0.97</v>
      </c>
      <c r="X107" s="1">
        <v>24.66558961384246</v>
      </c>
      <c r="Y107" s="1">
        <v>17.32055602507296</v>
      </c>
      <c r="Z107" s="1">
        <v>23.18558906722663</v>
      </c>
      <c r="AA107" s="1">
        <v>0.40693541113804482</v>
      </c>
      <c r="AB107" s="1">
        <v>8.45103514695721</v>
      </c>
      <c r="AC107" s="1">
        <v>23.526342980143831</v>
      </c>
      <c r="AD107" s="1">
        <v>23.2</v>
      </c>
      <c r="AE107" s="1">
        <v>-0.89034833254596213</v>
      </c>
      <c r="AF107" s="1">
        <v>-0.40179234868080249</v>
      </c>
      <c r="AG107" s="1">
        <v>2.1208245323154689</v>
      </c>
      <c r="AH107" s="1">
        <v>-0.50240297947965218</v>
      </c>
      <c r="AI107" s="1">
        <v>0</v>
      </c>
      <c r="AJ107" s="1">
        <v>0</v>
      </c>
      <c r="AK107" s="1">
        <v>20.767665131426991</v>
      </c>
      <c r="AL107" s="1">
        <v>23.2</v>
      </c>
      <c r="AM107" s="1">
        <v>-1.428868783868934</v>
      </c>
      <c r="AN107" s="1">
        <v>-0.75911626488975414</v>
      </c>
      <c r="AO107" s="1">
        <v>2.2907409531310909</v>
      </c>
      <c r="AP107" s="1">
        <v>-2.5351578574978388</v>
      </c>
      <c r="AQ107" s="1">
        <v>0</v>
      </c>
    </row>
    <row r="108" spans="1:43" ht="13" customHeight="1">
      <c r="A108" s="22">
        <v>41196</v>
      </c>
      <c r="B108" s="23">
        <v>0.68055555555555558</v>
      </c>
      <c r="C108" s="24">
        <v>23.1</v>
      </c>
      <c r="D108" s="24">
        <v>33.799999999999997</v>
      </c>
      <c r="E108" s="1">
        <v>1.1000000000000001</v>
      </c>
      <c r="F108" s="24">
        <v>117.1428571428571</v>
      </c>
      <c r="G108" s="24">
        <v>20</v>
      </c>
      <c r="H108" s="24">
        <v>308.97049721658959</v>
      </c>
      <c r="I108" s="24">
        <v>450.39906864516109</v>
      </c>
      <c r="J108" s="25">
        <v>0.60899999999999999</v>
      </c>
      <c r="K108" s="25">
        <v>4.3999999999999997E-2</v>
      </c>
      <c r="L108" s="1">
        <v>0.6</v>
      </c>
      <c r="M108" s="1">
        <v>2</v>
      </c>
      <c r="O108" s="25">
        <v>0.97</v>
      </c>
      <c r="X108" s="1">
        <v>24.7212128614132</v>
      </c>
      <c r="Y108" s="1">
        <v>17.244868467237652</v>
      </c>
      <c r="Z108" s="1">
        <v>22.70821811457439</v>
      </c>
      <c r="AA108" s="1">
        <v>0.35822137529467918</v>
      </c>
      <c r="AB108" s="1">
        <v>7.6705388682111959</v>
      </c>
      <c r="AC108" s="1">
        <v>23.399537347694729</v>
      </c>
      <c r="AD108" s="1">
        <v>23.1</v>
      </c>
      <c r="AE108" s="1">
        <v>-0.24208956152591671</v>
      </c>
      <c r="AF108" s="1">
        <v>-1.1037973842051281</v>
      </c>
      <c r="AG108" s="1">
        <v>1.8592364678979769</v>
      </c>
      <c r="AH108" s="1">
        <v>-0.21387771500435471</v>
      </c>
      <c r="AI108" s="1">
        <v>0</v>
      </c>
      <c r="AJ108" s="1">
        <v>0</v>
      </c>
      <c r="AK108" s="1">
        <v>20.816849653096028</v>
      </c>
      <c r="AL108" s="1">
        <v>23.1</v>
      </c>
      <c r="AM108" s="1">
        <v>-0.84065803432929487</v>
      </c>
      <c r="AN108" s="1">
        <v>-1.084116834873835</v>
      </c>
      <c r="AO108" s="1">
        <v>1.954240251385206</v>
      </c>
      <c r="AP108" s="1">
        <v>-2.3126846186265899</v>
      </c>
      <c r="AQ108" s="1">
        <v>0</v>
      </c>
    </row>
    <row r="109" spans="1:43" ht="13" customHeight="1">
      <c r="A109" s="22">
        <v>41196</v>
      </c>
      <c r="B109" s="23">
        <v>0.6875</v>
      </c>
      <c r="C109" s="24">
        <v>22.8</v>
      </c>
      <c r="D109" s="24">
        <v>35.299999999999997</v>
      </c>
      <c r="E109" s="1">
        <v>1.3</v>
      </c>
      <c r="F109" s="24">
        <v>100</v>
      </c>
      <c r="G109" s="24">
        <v>12.857142857142859</v>
      </c>
      <c r="H109" s="24">
        <v>305.05690546006662</v>
      </c>
      <c r="I109" s="24">
        <v>445.05690546006662</v>
      </c>
      <c r="J109" s="25">
        <v>0.60899999999999999</v>
      </c>
      <c r="K109" s="25">
        <v>4.3999999999999997E-2</v>
      </c>
      <c r="L109" s="1">
        <v>0.6</v>
      </c>
      <c r="M109" s="1">
        <v>2</v>
      </c>
      <c r="O109" s="25">
        <v>0.97</v>
      </c>
      <c r="X109" s="1">
        <v>24.307854341627031</v>
      </c>
      <c r="Y109" s="1">
        <v>17.02914682751463</v>
      </c>
      <c r="Z109" s="1">
        <v>21.605054747809401</v>
      </c>
      <c r="AA109" s="1">
        <v>0.14687350421305431</v>
      </c>
      <c r="AB109" s="1">
        <v>5.4469750527401706</v>
      </c>
      <c r="AC109" s="1">
        <v>22.50537453841099</v>
      </c>
      <c r="AD109" s="1">
        <v>22.8</v>
      </c>
      <c r="AE109" s="1">
        <v>-0.59511888668165225</v>
      </c>
      <c r="AF109" s="1">
        <v>-1.0574137271239761</v>
      </c>
      <c r="AG109" s="1">
        <v>1.577534451815094</v>
      </c>
      <c r="AH109" s="1">
        <v>-0.21968438195341461</v>
      </c>
      <c r="AI109" s="1">
        <v>0</v>
      </c>
      <c r="AJ109" s="1">
        <v>0</v>
      </c>
      <c r="AK109" s="1">
        <v>20.424306653687449</v>
      </c>
      <c r="AL109" s="1">
        <v>22.8</v>
      </c>
      <c r="AM109" s="1">
        <v>-1.3336718571708659</v>
      </c>
      <c r="AN109" s="1">
        <v>-0.51337489178374462</v>
      </c>
      <c r="AO109" s="1">
        <v>1.6037125505144709</v>
      </c>
      <c r="AP109" s="1">
        <v>-2.132417177469935</v>
      </c>
      <c r="AQ109" s="1">
        <v>0</v>
      </c>
    </row>
    <row r="110" spans="1:43" ht="13" customHeight="1">
      <c r="A110" s="22">
        <v>41196</v>
      </c>
      <c r="B110" s="23">
        <v>0.69444444444444442</v>
      </c>
      <c r="C110" s="24">
        <v>22.6</v>
      </c>
      <c r="D110" s="24">
        <v>35.4</v>
      </c>
      <c r="E110" s="1">
        <v>1.3</v>
      </c>
      <c r="F110" s="24">
        <v>40</v>
      </c>
      <c r="G110" s="24">
        <v>10</v>
      </c>
      <c r="H110" s="24">
        <v>308.59334030066509</v>
      </c>
      <c r="I110" s="24">
        <v>438.59334030066509</v>
      </c>
      <c r="J110" s="25">
        <v>0.60899999999999999</v>
      </c>
      <c r="K110" s="25">
        <v>4.3999999999999997E-2</v>
      </c>
      <c r="L110" s="1">
        <v>0.6</v>
      </c>
      <c r="M110" s="1">
        <v>2</v>
      </c>
      <c r="O110" s="25">
        <v>0.97</v>
      </c>
      <c r="X110" s="1">
        <v>24.08204347772929</v>
      </c>
      <c r="Y110" s="1">
        <v>16.453009627514628</v>
      </c>
      <c r="Z110" s="1">
        <v>19.993358699029748</v>
      </c>
      <c r="AA110" s="1">
        <v>-0.11029958198865419</v>
      </c>
      <c r="AB110" s="1">
        <v>5.2519789378224431</v>
      </c>
      <c r="AC110" s="1">
        <v>21.55117401921288</v>
      </c>
      <c r="AD110" s="1">
        <v>22.6</v>
      </c>
      <c r="AE110" s="1">
        <v>-0.72344263069454895</v>
      </c>
      <c r="AF110" s="1">
        <v>-0.96112107693219406</v>
      </c>
      <c r="AG110" s="1">
        <v>0.79932568872935883</v>
      </c>
      <c r="AH110" s="1">
        <v>-0.16364058060070341</v>
      </c>
      <c r="AI110" s="1">
        <v>0</v>
      </c>
      <c r="AJ110" s="1">
        <v>0</v>
      </c>
      <c r="AK110" s="1">
        <v>20.30568014565063</v>
      </c>
      <c r="AL110" s="1">
        <v>22.6</v>
      </c>
      <c r="AM110" s="1">
        <v>-1.721063260813672</v>
      </c>
      <c r="AN110" s="1">
        <v>0.72749640530882209</v>
      </c>
      <c r="AO110" s="1">
        <v>0.75285190955319081</v>
      </c>
      <c r="AP110" s="1">
        <v>-2.0536544677920721</v>
      </c>
      <c r="AQ110" s="1">
        <v>0</v>
      </c>
    </row>
    <row r="111" spans="1:43" ht="13" customHeight="1">
      <c r="A111" s="22">
        <v>41196</v>
      </c>
      <c r="B111" s="23">
        <v>0.70138888888888884</v>
      </c>
      <c r="C111" s="24">
        <v>22.3</v>
      </c>
      <c r="D111" s="24">
        <v>35.700000000000003</v>
      </c>
      <c r="E111" s="1">
        <v>1</v>
      </c>
      <c r="F111" s="24">
        <v>31.428571428571431</v>
      </c>
      <c r="G111" s="24">
        <v>7.1428571428571432</v>
      </c>
      <c r="H111" s="24">
        <v>305.63684904592338</v>
      </c>
      <c r="I111" s="24">
        <v>434.208277617352</v>
      </c>
      <c r="J111" s="25">
        <v>0.60899999999999999</v>
      </c>
      <c r="K111" s="25">
        <v>4.3999999999999997E-2</v>
      </c>
      <c r="L111" s="1">
        <v>0.6</v>
      </c>
      <c r="M111" s="1">
        <v>2</v>
      </c>
      <c r="O111" s="25">
        <v>0.97</v>
      </c>
      <c r="X111" s="1">
        <v>23.876362232334721</v>
      </c>
      <c r="Y111" s="1">
        <v>16.181631229956309</v>
      </c>
      <c r="Z111" s="1">
        <v>19.594777940535948</v>
      </c>
      <c r="AA111" s="1">
        <v>-0.176223938551718</v>
      </c>
      <c r="AB111" s="1">
        <v>5.6437325288405296</v>
      </c>
      <c r="AC111" s="1">
        <v>21.401628118370461</v>
      </c>
      <c r="AD111" s="1">
        <v>22.3</v>
      </c>
      <c r="AE111" s="1">
        <v>-0.19247892408369971</v>
      </c>
      <c r="AF111" s="1">
        <v>-1.3810178998888341</v>
      </c>
      <c r="AG111" s="1">
        <v>0.66108717630588953</v>
      </c>
      <c r="AH111" s="1">
        <v>1.398683939345422E-2</v>
      </c>
      <c r="AI111" s="1">
        <v>0</v>
      </c>
      <c r="AJ111" s="1">
        <v>0</v>
      </c>
      <c r="AK111" s="1">
        <v>20.285506653367829</v>
      </c>
      <c r="AL111" s="1">
        <v>22.3</v>
      </c>
      <c r="AM111" s="1">
        <v>-1.295427493199846</v>
      </c>
      <c r="AN111" s="1">
        <v>0.56593009308112319</v>
      </c>
      <c r="AO111" s="1">
        <v>0.61475041207341485</v>
      </c>
      <c r="AP111" s="1">
        <v>-1.899793715692393</v>
      </c>
      <c r="AQ111" s="1">
        <v>0</v>
      </c>
    </row>
    <row r="112" spans="1:43" ht="13" customHeight="1">
      <c r="A112" s="22">
        <v>41196</v>
      </c>
      <c r="B112" s="23">
        <v>0.70833333333333337</v>
      </c>
      <c r="C112" s="24">
        <v>22</v>
      </c>
      <c r="D112" s="24">
        <v>35.1</v>
      </c>
      <c r="E112" s="1">
        <v>1</v>
      </c>
      <c r="F112" s="24">
        <v>20</v>
      </c>
      <c r="G112" s="24">
        <v>10</v>
      </c>
      <c r="H112" s="24">
        <v>297.31669071062771</v>
      </c>
      <c r="I112" s="24">
        <v>423.03097642491338</v>
      </c>
      <c r="J112" s="25">
        <v>0.60899999999999999</v>
      </c>
      <c r="K112" s="25">
        <v>4.3999999999999997E-2</v>
      </c>
      <c r="L112" s="1">
        <v>0.6</v>
      </c>
      <c r="M112" s="1">
        <v>2</v>
      </c>
      <c r="O112" s="25">
        <v>0.97</v>
      </c>
      <c r="X112" s="1">
        <v>23.543905511754119</v>
      </c>
      <c r="Y112" s="1">
        <v>15.78447814424203</v>
      </c>
      <c r="Z112" s="1">
        <v>18.5765880427432</v>
      </c>
      <c r="AA112" s="1">
        <v>-0.3638923527288922</v>
      </c>
      <c r="AB112" s="1">
        <v>7.7561921243851657</v>
      </c>
      <c r="AC112" s="1">
        <v>20.485074299011831</v>
      </c>
      <c r="AD112" s="1">
        <v>22</v>
      </c>
      <c r="AE112" s="1">
        <v>-0.208244255228723</v>
      </c>
      <c r="AF112" s="1">
        <v>-1.8772347284264119</v>
      </c>
      <c r="AG112" s="1">
        <v>0.52951423352315941</v>
      </c>
      <c r="AH112" s="1">
        <v>4.1011562455849151E-2</v>
      </c>
      <c r="AI112" s="1">
        <v>0</v>
      </c>
      <c r="AJ112" s="1">
        <v>0</v>
      </c>
      <c r="AK112" s="1">
        <v>19.836904483732798</v>
      </c>
      <c r="AL112" s="1">
        <v>22</v>
      </c>
      <c r="AM112" s="1">
        <v>-1.3691664773196699</v>
      </c>
      <c r="AN112" s="1">
        <v>0.33700103189304209</v>
      </c>
      <c r="AO112" s="1">
        <v>0.48527950542067122</v>
      </c>
      <c r="AP112" s="1">
        <v>-1.6162347667575301</v>
      </c>
      <c r="AQ112" s="1">
        <v>0</v>
      </c>
    </row>
    <row r="113" spans="1:43" ht="13" customHeight="1">
      <c r="A113" s="22">
        <v>41196</v>
      </c>
      <c r="B113" s="23">
        <v>0.71527777777777779</v>
      </c>
      <c r="C113" s="24">
        <v>21.6</v>
      </c>
      <c r="D113" s="24">
        <v>34.299999999999997</v>
      </c>
      <c r="E113" s="1">
        <v>1.4</v>
      </c>
      <c r="F113" s="24">
        <v>7.1428571428571432</v>
      </c>
      <c r="G113" s="24">
        <v>5.7142857142857144</v>
      </c>
      <c r="H113" s="24">
        <v>301.02433990110399</v>
      </c>
      <c r="I113" s="24">
        <v>423.88148275824688</v>
      </c>
      <c r="J113" s="25">
        <v>0.60899999999999999</v>
      </c>
      <c r="K113" s="25">
        <v>4.3999999999999997E-2</v>
      </c>
      <c r="L113" s="1">
        <v>0.6</v>
      </c>
      <c r="M113" s="1">
        <v>2</v>
      </c>
      <c r="O113" s="25">
        <v>0.97</v>
      </c>
      <c r="X113" s="1">
        <v>22.91015134229961</v>
      </c>
      <c r="Y113" s="1">
        <v>15.256878250510271</v>
      </c>
      <c r="Z113" s="1">
        <v>17.58138019366416</v>
      </c>
      <c r="AA113" s="1">
        <v>-0.55385833726434175</v>
      </c>
      <c r="AB113" s="1">
        <v>11.42241077085416</v>
      </c>
      <c r="AC113" s="1">
        <v>19.602555415625829</v>
      </c>
      <c r="AD113" s="1">
        <v>21.6</v>
      </c>
      <c r="AE113" s="1">
        <v>-1.047558629103585</v>
      </c>
      <c r="AF113" s="1">
        <v>-1.0494129839909849</v>
      </c>
      <c r="AG113" s="1">
        <v>0.22237227538644649</v>
      </c>
      <c r="AH113" s="1">
        <v>-0.1228600448101806</v>
      </c>
      <c r="AI113" s="1">
        <v>0</v>
      </c>
      <c r="AJ113" s="1">
        <v>0</v>
      </c>
      <c r="AK113" s="1">
        <v>19.51670901935897</v>
      </c>
      <c r="AL113" s="1">
        <v>21.6</v>
      </c>
      <c r="AM113" s="1">
        <v>-2.2385181218584109</v>
      </c>
      <c r="AN113" s="1">
        <v>1.5103823945487631</v>
      </c>
      <c r="AO113" s="1">
        <v>0.19869870500352599</v>
      </c>
      <c r="AP113" s="1">
        <v>-1.5538671810807809</v>
      </c>
      <c r="AQ113" s="1">
        <v>0</v>
      </c>
    </row>
    <row r="114" spans="1:43" ht="13" customHeight="1">
      <c r="A114" s="22">
        <v>41196</v>
      </c>
      <c r="B114" s="23">
        <v>0.72222222222222221</v>
      </c>
      <c r="C114" s="24">
        <v>21.3</v>
      </c>
      <c r="D114" s="24">
        <v>34.5</v>
      </c>
      <c r="E114" s="1">
        <v>1.2</v>
      </c>
      <c r="F114" s="24">
        <v>0</v>
      </c>
      <c r="G114" s="24">
        <v>0</v>
      </c>
      <c r="H114" s="24">
        <v>301.03488181895011</v>
      </c>
      <c r="I114" s="24">
        <v>419.60631039037861</v>
      </c>
      <c r="J114" s="25">
        <v>0.60899999999999999</v>
      </c>
      <c r="K114" s="25">
        <v>4.3999999999999997E-2</v>
      </c>
      <c r="L114" s="1">
        <v>0.6</v>
      </c>
      <c r="M114" s="1">
        <v>2</v>
      </c>
      <c r="O114" s="25">
        <v>0.97</v>
      </c>
      <c r="X114" s="1">
        <v>22.661911808014711</v>
      </c>
      <c r="Y114" s="1">
        <v>14.979990333090431</v>
      </c>
      <c r="Z114" s="1">
        <v>17.146699149538581</v>
      </c>
      <c r="AA114" s="1">
        <v>-0.63940748437544992</v>
      </c>
      <c r="AB114" s="1">
        <v>13.582894417502899</v>
      </c>
      <c r="AC114" s="1">
        <v>19.331486869921271</v>
      </c>
      <c r="AD114" s="1">
        <v>21.3</v>
      </c>
      <c r="AE114" s="1">
        <v>-0.70949349185584454</v>
      </c>
      <c r="AF114" s="1">
        <v>-1.22331361678671</v>
      </c>
      <c r="AG114" s="1">
        <v>0</v>
      </c>
      <c r="AH114" s="1">
        <v>-3.5715934139627918E-2</v>
      </c>
      <c r="AI114" s="1">
        <v>0</v>
      </c>
      <c r="AJ114" s="1">
        <v>0</v>
      </c>
      <c r="AK114" s="1">
        <v>19.48575334685415</v>
      </c>
      <c r="AL114" s="1">
        <v>21.3</v>
      </c>
      <c r="AM114" s="1">
        <v>-2.0269010432473511</v>
      </c>
      <c r="AN114" s="1">
        <v>1.677268729975808</v>
      </c>
      <c r="AO114" s="1">
        <v>0</v>
      </c>
      <c r="AP114" s="1">
        <v>-1.464623042548826</v>
      </c>
      <c r="AQ114" s="1">
        <v>0</v>
      </c>
    </row>
    <row r="115" spans="1:43" ht="13" customHeight="1">
      <c r="A115" s="22">
        <v>41196</v>
      </c>
      <c r="B115" s="23">
        <v>0.72916666666666663</v>
      </c>
      <c r="C115" s="24">
        <v>20.9</v>
      </c>
      <c r="D115" s="24">
        <v>35.4</v>
      </c>
      <c r="E115" s="1">
        <v>0.8</v>
      </c>
      <c r="F115" s="24">
        <v>0</v>
      </c>
      <c r="G115" s="24">
        <v>0</v>
      </c>
      <c r="H115" s="24">
        <v>302.22486619341788</v>
      </c>
      <c r="I115" s="24">
        <v>415.08200905056083</v>
      </c>
      <c r="J115" s="25">
        <v>0.60899999999999999</v>
      </c>
      <c r="K115" s="25">
        <v>4.3999999999999997E-2</v>
      </c>
      <c r="L115" s="1">
        <v>0.6</v>
      </c>
      <c r="M115" s="1">
        <v>2</v>
      </c>
      <c r="O115" s="25">
        <v>0.97</v>
      </c>
      <c r="X115" s="1">
        <v>22.457630148928569</v>
      </c>
      <c r="Y115" s="1">
        <v>14.750136755393619</v>
      </c>
      <c r="Z115" s="1">
        <v>17.16741805414275</v>
      </c>
      <c r="AA115" s="1">
        <v>-0.66371068514152387</v>
      </c>
      <c r="AB115" s="1">
        <v>14.25456623984662</v>
      </c>
      <c r="AC115" s="1">
        <v>19.648172291554271</v>
      </c>
      <c r="AD115" s="1">
        <v>20.9</v>
      </c>
      <c r="AE115" s="1">
        <v>0.23170798519994051</v>
      </c>
      <c r="AF115" s="1">
        <v>-1.6516356928470921</v>
      </c>
      <c r="AG115" s="1">
        <v>0</v>
      </c>
      <c r="AH115" s="1">
        <v>0.1680843492323966</v>
      </c>
      <c r="AI115" s="1">
        <v>0</v>
      </c>
      <c r="AJ115" s="1">
        <v>0</v>
      </c>
      <c r="AK115" s="1">
        <v>19.657990449833751</v>
      </c>
      <c r="AL115" s="1">
        <v>20.9</v>
      </c>
      <c r="AM115" s="1">
        <v>-1.261882622901882</v>
      </c>
      <c r="AN115" s="1">
        <v>1.4233942219100599</v>
      </c>
      <c r="AO115" s="1">
        <v>0</v>
      </c>
      <c r="AP115" s="1">
        <v>-1.403534884913614</v>
      </c>
      <c r="AQ115" s="1">
        <v>0</v>
      </c>
    </row>
    <row r="116" spans="1:43" ht="13" customHeight="1">
      <c r="A116" s="22">
        <v>41196</v>
      </c>
      <c r="B116" s="23">
        <v>0.73611111111111116</v>
      </c>
      <c r="C116" s="24">
        <v>20.2</v>
      </c>
      <c r="D116" s="24">
        <v>38.299999999999997</v>
      </c>
      <c r="E116" s="1">
        <v>0.3</v>
      </c>
      <c r="F116" s="24">
        <v>0</v>
      </c>
      <c r="G116" s="24">
        <v>0</v>
      </c>
      <c r="H116" s="24">
        <v>297.73763007107237</v>
      </c>
      <c r="I116" s="24">
        <v>409.16620149964382</v>
      </c>
      <c r="J116" s="25">
        <v>0.60899999999999999</v>
      </c>
      <c r="K116" s="25">
        <v>4.3999999999999997E-2</v>
      </c>
      <c r="L116" s="1">
        <v>0.6</v>
      </c>
      <c r="M116" s="1">
        <v>2</v>
      </c>
      <c r="O116" s="25">
        <v>0.97</v>
      </c>
      <c r="X116" s="1">
        <v>22.271961286081151</v>
      </c>
      <c r="Y116" s="1">
        <v>14.4626142832726</v>
      </c>
      <c r="Z116" s="1">
        <v>16.756790391169041</v>
      </c>
      <c r="AA116" s="1">
        <v>-0.82036600939373883</v>
      </c>
      <c r="AB116" s="1">
        <v>19.194633547381638</v>
      </c>
      <c r="AC116" s="1">
        <v>20.277347816815581</v>
      </c>
      <c r="AD116" s="1">
        <v>20.2</v>
      </c>
      <c r="AE116" s="1">
        <v>1.9313837770948861</v>
      </c>
      <c r="AF116" s="1">
        <v>-2.5399720826036649</v>
      </c>
      <c r="AG116" s="1">
        <v>0</v>
      </c>
      <c r="AH116" s="1">
        <v>0.68591017181824665</v>
      </c>
      <c r="AI116" s="1">
        <v>0</v>
      </c>
      <c r="AJ116" s="1">
        <v>0</v>
      </c>
      <c r="AK116" s="1">
        <v>19.983472931839909</v>
      </c>
      <c r="AL116" s="1">
        <v>20.2</v>
      </c>
      <c r="AM116" s="1">
        <v>0.1189272613499384</v>
      </c>
      <c r="AN116" s="1">
        <v>0.8675589038186805</v>
      </c>
      <c r="AO116" s="1">
        <v>0</v>
      </c>
      <c r="AP116" s="1">
        <v>-1.2030359843014931</v>
      </c>
      <c r="AQ116" s="1">
        <v>0</v>
      </c>
    </row>
    <row r="117" spans="1:43" ht="13" customHeight="1">
      <c r="A117" s="22">
        <v>41196</v>
      </c>
      <c r="B117" s="23">
        <v>0.74305555555555558</v>
      </c>
      <c r="C117" s="24">
        <v>19.600000000000001</v>
      </c>
      <c r="D117" s="24">
        <v>42.3</v>
      </c>
      <c r="E117" s="1">
        <v>0.4</v>
      </c>
      <c r="F117" s="24">
        <v>0</v>
      </c>
      <c r="G117" s="24">
        <v>0</v>
      </c>
      <c r="H117" s="24">
        <v>302.0946965982771</v>
      </c>
      <c r="I117" s="24">
        <v>410.66612516970571</v>
      </c>
      <c r="J117" s="25">
        <v>0.60899999999999999</v>
      </c>
      <c r="K117" s="25">
        <v>4.3999999999999997E-2</v>
      </c>
      <c r="L117" s="1">
        <v>0.6</v>
      </c>
      <c r="M117" s="1">
        <v>2</v>
      </c>
      <c r="O117" s="25">
        <v>0.97</v>
      </c>
      <c r="X117" s="1">
        <v>21.4866017533285</v>
      </c>
      <c r="Y117" s="1">
        <v>14.32907637769681</v>
      </c>
      <c r="Z117" s="1">
        <v>16.702491709591762</v>
      </c>
      <c r="AA117" s="1">
        <v>-0.86921189576506053</v>
      </c>
      <c r="AB117" s="1">
        <v>20.94788602357454</v>
      </c>
      <c r="AC117" s="1">
        <v>19.873761689277011</v>
      </c>
      <c r="AD117" s="1">
        <v>19.600000000000001</v>
      </c>
      <c r="AE117" s="1">
        <v>1.6108294319353309</v>
      </c>
      <c r="AF117" s="1">
        <v>-1.91095279174357</v>
      </c>
      <c r="AG117" s="1">
        <v>0</v>
      </c>
      <c r="AH117" s="1">
        <v>0.57386960340150661</v>
      </c>
      <c r="AI117" s="1">
        <v>0</v>
      </c>
      <c r="AJ117" s="1">
        <v>0</v>
      </c>
      <c r="AK117" s="1">
        <v>19.763552790547191</v>
      </c>
      <c r="AL117" s="1">
        <v>19.600000000000001</v>
      </c>
      <c r="AM117" s="1">
        <v>-0.22363930135584459</v>
      </c>
      <c r="AN117" s="1">
        <v>1.5373921200048171</v>
      </c>
      <c r="AO117" s="1">
        <v>0</v>
      </c>
      <c r="AP117" s="1">
        <v>-1.1502135753977141</v>
      </c>
      <c r="AQ117" s="1">
        <v>0</v>
      </c>
    </row>
    <row r="118" spans="1:43" ht="13" customHeight="1">
      <c r="A118" s="22">
        <v>41196</v>
      </c>
      <c r="B118" s="23">
        <v>0.75</v>
      </c>
      <c r="C118" s="24">
        <v>19.2</v>
      </c>
      <c r="D118" s="24">
        <v>45.7</v>
      </c>
      <c r="E118" s="1">
        <v>0.3</v>
      </c>
      <c r="F118" s="24">
        <v>0</v>
      </c>
      <c r="G118" s="24">
        <v>0</v>
      </c>
      <c r="H118" s="24">
        <v>298.21868642021252</v>
      </c>
      <c r="I118" s="24">
        <v>405.36154356306969</v>
      </c>
      <c r="J118" s="25">
        <v>0.60899999999999999</v>
      </c>
      <c r="K118" s="25">
        <v>4.3999999999999997E-2</v>
      </c>
      <c r="L118" s="1">
        <v>0.6</v>
      </c>
      <c r="M118" s="1">
        <v>2</v>
      </c>
      <c r="O118" s="25">
        <v>0.97</v>
      </c>
      <c r="X118" s="1">
        <v>21.249048693446031</v>
      </c>
      <c r="Y118" s="1">
        <v>14.307411883272611</v>
      </c>
      <c r="Z118" s="1">
        <v>16.327418624923911</v>
      </c>
      <c r="AA118" s="1">
        <v>-0.97084064001698234</v>
      </c>
      <c r="AB118" s="1">
        <v>24.908124939074071</v>
      </c>
      <c r="AC118" s="1">
        <v>19.71109911459126</v>
      </c>
      <c r="AD118" s="1">
        <v>19.2</v>
      </c>
      <c r="AE118" s="1">
        <v>2.0662291222551419</v>
      </c>
      <c r="AF118" s="1">
        <v>-2.263539066316905</v>
      </c>
      <c r="AG118" s="1">
        <v>0</v>
      </c>
      <c r="AH118" s="1">
        <v>0.70839999340927717</v>
      </c>
      <c r="AI118" s="1">
        <v>0</v>
      </c>
      <c r="AJ118" s="1">
        <v>0</v>
      </c>
      <c r="AK118" s="1">
        <v>19.671456122005161</v>
      </c>
      <c r="AL118" s="1">
        <v>19.2</v>
      </c>
      <c r="AM118" s="1">
        <v>0.122837876405028</v>
      </c>
      <c r="AN118" s="1">
        <v>1.339727445409342</v>
      </c>
      <c r="AO118" s="1">
        <v>0</v>
      </c>
      <c r="AP118" s="1">
        <v>-0.99111714002275975</v>
      </c>
      <c r="AQ118" s="1">
        <v>0</v>
      </c>
    </row>
    <row r="119" spans="1:43" ht="13" customHeight="1">
      <c r="A119" s="22">
        <v>41196</v>
      </c>
      <c r="B119" s="23">
        <v>0.75694444444444442</v>
      </c>
      <c r="C119" s="24">
        <v>18.5</v>
      </c>
      <c r="D119" s="24">
        <v>48</v>
      </c>
      <c r="E119" s="1">
        <v>0.3</v>
      </c>
      <c r="F119" s="24">
        <v>0</v>
      </c>
      <c r="G119" s="24">
        <v>0</v>
      </c>
      <c r="H119" s="24">
        <v>298.65638083710661</v>
      </c>
      <c r="I119" s="24">
        <v>405.79923797996372</v>
      </c>
      <c r="J119" s="25">
        <v>0.60899999999999999</v>
      </c>
      <c r="K119" s="25">
        <v>4.3999999999999997E-2</v>
      </c>
      <c r="L119" s="1">
        <v>0.6</v>
      </c>
      <c r="M119" s="1">
        <v>2</v>
      </c>
      <c r="O119" s="25">
        <v>0.97</v>
      </c>
      <c r="X119" s="1">
        <v>20.533009878601462</v>
      </c>
      <c r="Y119" s="1">
        <v>13.909767083272611</v>
      </c>
      <c r="Z119" s="1">
        <v>16.023618286251569</v>
      </c>
      <c r="AA119" s="1">
        <v>-1.070449005311763</v>
      </c>
      <c r="AB119" s="1">
        <v>29.178051882393401</v>
      </c>
      <c r="AC119" s="1">
        <v>19.37185170181824</v>
      </c>
      <c r="AD119" s="1">
        <v>18.5</v>
      </c>
      <c r="AE119" s="1">
        <v>2.1631511590400021</v>
      </c>
      <c r="AF119" s="1">
        <v>-1.9575526878938769</v>
      </c>
      <c r="AG119" s="1">
        <v>0</v>
      </c>
      <c r="AH119" s="1">
        <v>0.66625583708108893</v>
      </c>
      <c r="AI119" s="1">
        <v>0</v>
      </c>
      <c r="AJ119" s="1">
        <v>0</v>
      </c>
      <c r="AK119" s="1">
        <v>19.497984443738531</v>
      </c>
      <c r="AL119" s="1">
        <v>18.5</v>
      </c>
      <c r="AM119" s="1">
        <v>0.12780785648176191</v>
      </c>
      <c r="AN119" s="1">
        <v>1.7660095282170101</v>
      </c>
      <c r="AO119" s="1">
        <v>0</v>
      </c>
      <c r="AP119" s="1">
        <v>-0.89583065838021936</v>
      </c>
      <c r="AQ119" s="1">
        <v>0</v>
      </c>
    </row>
    <row r="120" spans="1:43" ht="13" customHeight="1">
      <c r="A120" s="22">
        <v>41196</v>
      </c>
      <c r="B120" s="23">
        <v>0.76388888888888884</v>
      </c>
      <c r="C120" s="24">
        <v>17.8</v>
      </c>
      <c r="D120" s="24">
        <v>50.6</v>
      </c>
      <c r="E120" s="1">
        <v>0.3</v>
      </c>
      <c r="F120" s="24">
        <v>0</v>
      </c>
      <c r="G120" s="24">
        <v>0</v>
      </c>
      <c r="H120" s="24">
        <v>295.92485730267191</v>
      </c>
      <c r="I120" s="24">
        <v>400.21057158838619</v>
      </c>
      <c r="J120" s="25">
        <v>0.60899999999999999</v>
      </c>
      <c r="K120" s="25">
        <v>4.3999999999999997E-2</v>
      </c>
      <c r="L120" s="1">
        <v>0.6</v>
      </c>
      <c r="M120" s="1">
        <v>2</v>
      </c>
      <c r="O120" s="25">
        <v>0.97</v>
      </c>
      <c r="X120" s="1">
        <v>19.816971063756881</v>
      </c>
      <c r="Y120" s="1">
        <v>13.52953268327261</v>
      </c>
      <c r="Z120" s="1">
        <v>15.415713849853789</v>
      </c>
      <c r="AA120" s="1">
        <v>-1.2196101665249881</v>
      </c>
      <c r="AB120" s="1">
        <v>36.211272426534663</v>
      </c>
      <c r="AC120" s="1">
        <v>18.638644628902298</v>
      </c>
      <c r="AD120" s="1">
        <v>17.8</v>
      </c>
      <c r="AE120" s="1">
        <v>2.2499637370798919</v>
      </c>
      <c r="AF120" s="1">
        <v>-1.979656077341081</v>
      </c>
      <c r="AG120" s="1">
        <v>0</v>
      </c>
      <c r="AH120" s="1">
        <v>0.56836104005040933</v>
      </c>
      <c r="AI120" s="1">
        <v>0</v>
      </c>
      <c r="AJ120" s="1">
        <v>0</v>
      </c>
      <c r="AK120" s="1">
        <v>19.13016621104294</v>
      </c>
      <c r="AL120" s="1">
        <v>17.8</v>
      </c>
      <c r="AM120" s="1">
        <v>0.1247952506380193</v>
      </c>
      <c r="AN120" s="1">
        <v>1.9111759388054961</v>
      </c>
      <c r="AO120" s="1">
        <v>0</v>
      </c>
      <c r="AP120" s="1">
        <v>-0.70578393141590745</v>
      </c>
      <c r="AQ120" s="1">
        <v>0</v>
      </c>
    </row>
    <row r="121" spans="1:43" ht="13" customHeight="1">
      <c r="A121" s="22">
        <v>41196</v>
      </c>
      <c r="B121" s="23">
        <v>0.77083333333333337</v>
      </c>
      <c r="C121" s="24">
        <v>17.100000000000001</v>
      </c>
      <c r="D121" s="24">
        <v>55.6</v>
      </c>
      <c r="E121" s="1">
        <v>0.5</v>
      </c>
      <c r="F121" s="24">
        <v>0</v>
      </c>
      <c r="G121" s="24">
        <v>0</v>
      </c>
      <c r="H121" s="24">
        <v>295.17840941768048</v>
      </c>
      <c r="I121" s="24">
        <v>398.03555227482337</v>
      </c>
      <c r="J121" s="25">
        <v>0.60899999999999999</v>
      </c>
      <c r="K121" s="25">
        <v>4.3999999999999997E-2</v>
      </c>
      <c r="L121" s="1">
        <v>0.6</v>
      </c>
      <c r="M121" s="1">
        <v>2</v>
      </c>
      <c r="O121" s="25">
        <v>0.97</v>
      </c>
      <c r="X121" s="1">
        <v>18.70519427629371</v>
      </c>
      <c r="Y121" s="1">
        <v>13.340337672121009</v>
      </c>
      <c r="Z121" s="1">
        <v>14.939498430304781</v>
      </c>
      <c r="AA121" s="1">
        <v>-1.3321630439914021</v>
      </c>
      <c r="AB121" s="1">
        <v>41.934073118327383</v>
      </c>
      <c r="AC121" s="1">
        <v>17.454036169164858</v>
      </c>
      <c r="AD121" s="1">
        <v>17.100000000000001</v>
      </c>
      <c r="AE121" s="1">
        <v>1.3974330689915819</v>
      </c>
      <c r="AF121" s="1">
        <v>-1.4503726033209701</v>
      </c>
      <c r="AG121" s="1">
        <v>0</v>
      </c>
      <c r="AH121" s="1">
        <v>0.40733004192105421</v>
      </c>
      <c r="AI121" s="1">
        <v>0</v>
      </c>
      <c r="AJ121" s="1">
        <v>0</v>
      </c>
      <c r="AK121" s="1">
        <v>18.23908079784427</v>
      </c>
      <c r="AL121" s="1">
        <v>17.100000000000001</v>
      </c>
      <c r="AM121" s="1">
        <v>-0.64136724511479737</v>
      </c>
      <c r="AN121" s="1">
        <v>2.4243356124417579</v>
      </c>
      <c r="AO121" s="1">
        <v>0</v>
      </c>
      <c r="AP121" s="1">
        <v>-0.64357818621470997</v>
      </c>
      <c r="AQ121" s="1">
        <v>0</v>
      </c>
    </row>
    <row r="122" spans="1:43" ht="13" customHeight="1">
      <c r="A122" s="22">
        <v>41196</v>
      </c>
      <c r="B122" s="23">
        <v>0.77777777777777779</v>
      </c>
      <c r="C122" s="24">
        <v>17</v>
      </c>
      <c r="D122" s="24">
        <v>55.4</v>
      </c>
      <c r="E122" s="1">
        <v>0.5</v>
      </c>
      <c r="F122" s="24">
        <v>0</v>
      </c>
      <c r="G122" s="24">
        <v>0</v>
      </c>
      <c r="H122" s="24">
        <v>293.55307816590118</v>
      </c>
      <c r="I122" s="24">
        <v>394.98164959447269</v>
      </c>
      <c r="J122" s="25">
        <v>0.60899999999999999</v>
      </c>
      <c r="K122" s="25">
        <v>4.3999999999999997E-2</v>
      </c>
      <c r="L122" s="1">
        <v>0.6</v>
      </c>
      <c r="M122" s="1">
        <v>2</v>
      </c>
      <c r="O122" s="25">
        <v>0.97</v>
      </c>
      <c r="X122" s="1">
        <v>18.59948438447918</v>
      </c>
      <c r="Y122" s="1">
        <v>13.23319447212101</v>
      </c>
      <c r="Z122" s="1">
        <v>14.70351057395875</v>
      </c>
      <c r="AA122" s="1">
        <v>-1.374510756663172</v>
      </c>
      <c r="AB122" s="1">
        <v>44.158262903567383</v>
      </c>
      <c r="AC122" s="1">
        <v>17.219412058568029</v>
      </c>
      <c r="AD122" s="1">
        <v>17</v>
      </c>
      <c r="AE122" s="1">
        <v>1.3918710145360531</v>
      </c>
      <c r="AF122" s="1">
        <v>-1.578308913092193</v>
      </c>
      <c r="AG122" s="1">
        <v>0</v>
      </c>
      <c r="AH122" s="1">
        <v>0.40630098924862601</v>
      </c>
      <c r="AI122" s="1">
        <v>0</v>
      </c>
      <c r="AJ122" s="1">
        <v>0</v>
      </c>
      <c r="AK122" s="1">
        <v>18.031635826871661</v>
      </c>
      <c r="AL122" s="1">
        <v>17</v>
      </c>
      <c r="AM122" s="1">
        <v>-0.64299713126606528</v>
      </c>
      <c r="AN122" s="1">
        <v>2.3117494172953421</v>
      </c>
      <c r="AO122" s="1">
        <v>0</v>
      </c>
      <c r="AP122" s="1">
        <v>-0.63672297742018058</v>
      </c>
      <c r="AQ122" s="1">
        <v>0</v>
      </c>
    </row>
    <row r="123" spans="1:43" ht="13" customHeight="1">
      <c r="A123" s="22">
        <v>41196</v>
      </c>
      <c r="B123" s="23">
        <v>0.78472222222222221</v>
      </c>
      <c r="C123" s="24">
        <v>16.8</v>
      </c>
      <c r="D123" s="24">
        <v>57.6</v>
      </c>
      <c r="E123" s="1">
        <v>0.4</v>
      </c>
      <c r="F123" s="24">
        <v>0</v>
      </c>
      <c r="G123" s="24">
        <v>0</v>
      </c>
      <c r="H123" s="24">
        <v>295.67957497570012</v>
      </c>
      <c r="I123" s="24">
        <v>394.25100354712868</v>
      </c>
      <c r="J123" s="25">
        <v>0.60899999999999999</v>
      </c>
      <c r="K123" s="25">
        <v>4.3999999999999997E-2</v>
      </c>
      <c r="L123" s="1">
        <v>0.6</v>
      </c>
      <c r="M123" s="1">
        <v>2</v>
      </c>
      <c r="O123" s="25">
        <v>0.97</v>
      </c>
      <c r="X123" s="1">
        <v>18.569502677728352</v>
      </c>
      <c r="Y123" s="1">
        <v>13.248008377696809</v>
      </c>
      <c r="Z123" s="1">
        <v>14.795889671901691</v>
      </c>
      <c r="AA123" s="1">
        <v>-1.3922889257996831</v>
      </c>
      <c r="AB123" s="1">
        <v>45.101266566185508</v>
      </c>
      <c r="AC123" s="1">
        <v>17.502714848423</v>
      </c>
      <c r="AD123" s="1">
        <v>16.8</v>
      </c>
      <c r="AE123" s="1">
        <v>1.8604352941445741</v>
      </c>
      <c r="AF123" s="1">
        <v>-1.6267156060711609</v>
      </c>
      <c r="AG123" s="1">
        <v>0</v>
      </c>
      <c r="AH123" s="1">
        <v>0.4693288265935997</v>
      </c>
      <c r="AI123" s="1">
        <v>0</v>
      </c>
      <c r="AJ123" s="1">
        <v>0</v>
      </c>
      <c r="AK123" s="1">
        <v>18.2893566789866</v>
      </c>
      <c r="AL123" s="1">
        <v>16.8</v>
      </c>
      <c r="AM123" s="1">
        <v>-0.28382108341627282</v>
      </c>
      <c r="AN123" s="1">
        <v>2.3653793914634651</v>
      </c>
      <c r="AO123" s="1">
        <v>0</v>
      </c>
      <c r="AP123" s="1">
        <v>-0.59191041011755963</v>
      </c>
      <c r="AQ123" s="1">
        <v>0</v>
      </c>
    </row>
    <row r="124" spans="1:43" ht="13" customHeight="1">
      <c r="A124" s="22">
        <v>41196</v>
      </c>
      <c r="B124" s="23">
        <v>0.79166666666666663</v>
      </c>
      <c r="C124" s="24">
        <v>16.5</v>
      </c>
      <c r="D124" s="24">
        <v>57.1</v>
      </c>
      <c r="E124" s="1">
        <v>0.3</v>
      </c>
      <c r="F124" s="24">
        <v>0</v>
      </c>
      <c r="G124" s="24">
        <v>0</v>
      </c>
      <c r="H124" s="24">
        <v>295.49463774198318</v>
      </c>
      <c r="I124" s="24">
        <v>392.63749488484041</v>
      </c>
      <c r="J124" s="25">
        <v>0.60899999999999999</v>
      </c>
      <c r="K124" s="25">
        <v>4.3999999999999997E-2</v>
      </c>
      <c r="L124" s="1">
        <v>0.6</v>
      </c>
      <c r="M124" s="1">
        <v>2</v>
      </c>
      <c r="O124" s="25">
        <v>0.97</v>
      </c>
      <c r="X124" s="1">
        <v>18.48718469333123</v>
      </c>
      <c r="Y124" s="1">
        <v>12.938225083272609</v>
      </c>
      <c r="Z124" s="1">
        <v>14.602040240545289</v>
      </c>
      <c r="AA124" s="1">
        <v>-1.452177426085522</v>
      </c>
      <c r="AB124" s="1">
        <v>48.310571660317699</v>
      </c>
      <c r="AC124" s="1">
        <v>17.631193387022481</v>
      </c>
      <c r="AD124" s="1">
        <v>16.5</v>
      </c>
      <c r="AE124" s="1">
        <v>2.3832833510406788</v>
      </c>
      <c r="AF124" s="1">
        <v>-1.7692621819617169</v>
      </c>
      <c r="AG124" s="1">
        <v>0</v>
      </c>
      <c r="AH124" s="1">
        <v>0.5174612560458236</v>
      </c>
      <c r="AI124" s="1">
        <v>0</v>
      </c>
      <c r="AJ124" s="1">
        <v>0</v>
      </c>
      <c r="AK124" s="1">
        <v>18.409727519143502</v>
      </c>
      <c r="AL124" s="1">
        <v>16.5</v>
      </c>
      <c r="AM124" s="1">
        <v>0.12164180674818061</v>
      </c>
      <c r="AN124" s="1">
        <v>2.3425632453662901</v>
      </c>
      <c r="AO124" s="1">
        <v>0</v>
      </c>
      <c r="AP124" s="1">
        <v>-0.55422529488164962</v>
      </c>
      <c r="AQ124" s="1">
        <v>0</v>
      </c>
    </row>
    <row r="125" spans="1:43" ht="13" customHeight="1">
      <c r="A125" s="22">
        <v>41196</v>
      </c>
      <c r="B125" s="23">
        <v>0.79861111111111116</v>
      </c>
      <c r="C125" s="24">
        <v>16.2</v>
      </c>
      <c r="D125" s="24">
        <v>61.3</v>
      </c>
      <c r="E125" s="1">
        <v>0.4</v>
      </c>
      <c r="F125" s="24">
        <v>0</v>
      </c>
      <c r="G125" s="24">
        <v>0</v>
      </c>
      <c r="H125" s="24">
        <v>291.02903544535212</v>
      </c>
      <c r="I125" s="24">
        <v>389.60046401678062</v>
      </c>
      <c r="J125" s="25">
        <v>0.60899999999999999</v>
      </c>
      <c r="K125" s="25">
        <v>4.3999999999999997E-2</v>
      </c>
      <c r="L125" s="1">
        <v>0.6</v>
      </c>
      <c r="M125" s="1">
        <v>2</v>
      </c>
      <c r="O125" s="25">
        <v>0.97</v>
      </c>
      <c r="X125" s="1">
        <v>17.944410018671171</v>
      </c>
      <c r="Y125" s="1">
        <v>13.01949797769681</v>
      </c>
      <c r="Z125" s="1">
        <v>14.232167318521689</v>
      </c>
      <c r="AA125" s="1">
        <v>-1.5289617135556819</v>
      </c>
      <c r="AB125" s="1">
        <v>52.475423818009503</v>
      </c>
      <c r="AC125" s="1">
        <v>16.833008440149332</v>
      </c>
      <c r="AD125" s="1">
        <v>16.2</v>
      </c>
      <c r="AE125" s="1">
        <v>1.8806930498695631</v>
      </c>
      <c r="AF125" s="1">
        <v>-1.7363102868271361</v>
      </c>
      <c r="AG125" s="1">
        <v>0</v>
      </c>
      <c r="AH125" s="1">
        <v>0.48923108037903518</v>
      </c>
      <c r="AI125" s="1">
        <v>0</v>
      </c>
      <c r="AJ125" s="1">
        <v>0</v>
      </c>
      <c r="AK125" s="1">
        <v>17.691983047380681</v>
      </c>
      <c r="AL125" s="1">
        <v>16.2</v>
      </c>
      <c r="AM125" s="1">
        <v>-0.29677109945466718</v>
      </c>
      <c r="AN125" s="1">
        <v>2.3422417571774741</v>
      </c>
      <c r="AO125" s="1">
        <v>0</v>
      </c>
      <c r="AP125" s="1">
        <v>-0.55296022377147058</v>
      </c>
      <c r="AQ125" s="1">
        <v>0</v>
      </c>
    </row>
    <row r="126" spans="1:43" ht="13" customHeight="1">
      <c r="A126" s="22">
        <v>41196</v>
      </c>
      <c r="B126" s="23">
        <v>0.80555555555555558</v>
      </c>
      <c r="C126" s="24">
        <v>16</v>
      </c>
      <c r="D126" s="24">
        <v>61.5</v>
      </c>
      <c r="E126" s="1">
        <v>0.5</v>
      </c>
      <c r="F126" s="24">
        <v>0</v>
      </c>
      <c r="G126" s="24">
        <v>0</v>
      </c>
      <c r="H126" s="24">
        <v>292.28275754096722</v>
      </c>
      <c r="I126" s="24">
        <v>389.42561468382428</v>
      </c>
      <c r="J126" s="25">
        <v>0.60899999999999999</v>
      </c>
      <c r="K126" s="25">
        <v>4.3999999999999997E-2</v>
      </c>
      <c r="L126" s="1">
        <v>0.6</v>
      </c>
      <c r="M126" s="1">
        <v>2</v>
      </c>
      <c r="O126" s="25">
        <v>0.97</v>
      </c>
      <c r="X126" s="1">
        <v>17.542385466333801</v>
      </c>
      <c r="Y126" s="1">
        <v>12.849558472121011</v>
      </c>
      <c r="Z126" s="1">
        <v>14.064506089896661</v>
      </c>
      <c r="AA126" s="1">
        <v>-1.554895000277325</v>
      </c>
      <c r="AB126" s="1">
        <v>53.88821151986766</v>
      </c>
      <c r="AC126" s="1">
        <v>16.42613089914293</v>
      </c>
      <c r="AD126" s="1">
        <v>16</v>
      </c>
      <c r="AE126" s="1">
        <v>1.4373929201838029</v>
      </c>
      <c r="AF126" s="1">
        <v>-1.4481514190032261</v>
      </c>
      <c r="AG126" s="1">
        <v>0</v>
      </c>
      <c r="AH126" s="1">
        <v>0.43767066419304268</v>
      </c>
      <c r="AI126" s="1">
        <v>0</v>
      </c>
      <c r="AJ126" s="1">
        <v>0</v>
      </c>
      <c r="AK126" s="1">
        <v>17.317826886060249</v>
      </c>
      <c r="AL126" s="1">
        <v>16</v>
      </c>
      <c r="AM126" s="1">
        <v>-0.67298952548141922</v>
      </c>
      <c r="AN126" s="1">
        <v>2.5752441006760849</v>
      </c>
      <c r="AO126" s="1">
        <v>0</v>
      </c>
      <c r="AP126" s="1">
        <v>-0.58374728891202898</v>
      </c>
      <c r="AQ126" s="1">
        <v>0</v>
      </c>
    </row>
    <row r="127" spans="1:43" ht="13" customHeight="1">
      <c r="A127" s="22">
        <v>41196</v>
      </c>
      <c r="B127" s="23">
        <v>0.8125</v>
      </c>
      <c r="C127" s="24">
        <v>15.7</v>
      </c>
      <c r="D127" s="24">
        <v>63.2</v>
      </c>
      <c r="E127" s="1">
        <v>0.4</v>
      </c>
      <c r="F127" s="24">
        <v>0</v>
      </c>
      <c r="G127" s="24">
        <v>0</v>
      </c>
      <c r="H127" s="24">
        <v>296.03511612474222</v>
      </c>
      <c r="I127" s="24">
        <v>390.32083041045638</v>
      </c>
      <c r="J127" s="25">
        <v>0.60899999999999999</v>
      </c>
      <c r="K127" s="25">
        <v>4.3999999999999997E-2</v>
      </c>
      <c r="L127" s="1">
        <v>0.6</v>
      </c>
      <c r="M127" s="1">
        <v>2</v>
      </c>
      <c r="O127" s="25">
        <v>0.97</v>
      </c>
      <c r="X127" s="1">
        <v>17.423499469456861</v>
      </c>
      <c r="Y127" s="1">
        <v>12.72066357769681</v>
      </c>
      <c r="Z127" s="1">
        <v>14.20313965222665</v>
      </c>
      <c r="AA127" s="1">
        <v>-1.5731078475674629</v>
      </c>
      <c r="AB127" s="1">
        <v>54.880726187855572</v>
      </c>
      <c r="AC127" s="1">
        <v>16.780332695594911</v>
      </c>
      <c r="AD127" s="1">
        <v>15.7</v>
      </c>
      <c r="AE127" s="1">
        <v>1.936348570868683</v>
      </c>
      <c r="AF127" s="1">
        <v>-1.343703268768873</v>
      </c>
      <c r="AG127" s="1">
        <v>0</v>
      </c>
      <c r="AH127" s="1">
        <v>0.48832487589994289</v>
      </c>
      <c r="AI127" s="1">
        <v>0</v>
      </c>
      <c r="AJ127" s="1">
        <v>0</v>
      </c>
      <c r="AK127" s="1">
        <v>17.634431716083778</v>
      </c>
      <c r="AL127" s="1">
        <v>15.7</v>
      </c>
      <c r="AM127" s="1">
        <v>-0.30209511100700331</v>
      </c>
      <c r="AN127" s="1">
        <v>2.7876037438359971</v>
      </c>
      <c r="AO127" s="1">
        <v>0</v>
      </c>
      <c r="AP127" s="1">
        <v>-0.55052122584629459</v>
      </c>
      <c r="AQ127" s="1">
        <v>0</v>
      </c>
    </row>
    <row r="128" spans="1:43" ht="13" customHeight="1">
      <c r="A128" s="22">
        <v>41196</v>
      </c>
      <c r="B128" s="23">
        <v>0.81944444444444442</v>
      </c>
      <c r="C128" s="24">
        <v>15.5</v>
      </c>
      <c r="D128" s="24">
        <v>64</v>
      </c>
      <c r="E128" s="1">
        <v>0.7</v>
      </c>
      <c r="F128" s="24">
        <v>0</v>
      </c>
      <c r="G128" s="24">
        <v>0</v>
      </c>
      <c r="H128" s="24">
        <v>293.71132896953861</v>
      </c>
      <c r="I128" s="24">
        <v>385.13990039811</v>
      </c>
      <c r="J128" s="25">
        <v>0.60899999999999999</v>
      </c>
      <c r="K128" s="25">
        <v>4.3999999999999997E-2</v>
      </c>
      <c r="L128" s="1">
        <v>0.6</v>
      </c>
      <c r="M128" s="1">
        <v>2</v>
      </c>
      <c r="O128" s="25">
        <v>0.97</v>
      </c>
      <c r="X128" s="1">
        <v>16.696382991343992</v>
      </c>
      <c r="Y128" s="1">
        <v>12.590989860969421</v>
      </c>
      <c r="Z128" s="1">
        <v>13.51306402817732</v>
      </c>
      <c r="AA128" s="1">
        <v>-1.644282968769246</v>
      </c>
      <c r="AB128" s="1">
        <v>58.750047795232682</v>
      </c>
      <c r="AC128" s="1">
        <v>15.46066211159204</v>
      </c>
      <c r="AD128" s="1">
        <v>15.5</v>
      </c>
      <c r="AE128" s="1">
        <v>0.64473726299452272</v>
      </c>
      <c r="AF128" s="1">
        <v>-1.054818728821644</v>
      </c>
      <c r="AG128" s="1">
        <v>0</v>
      </c>
      <c r="AH128" s="1">
        <v>0.37194225502524381</v>
      </c>
      <c r="AI128" s="1">
        <v>0</v>
      </c>
      <c r="AJ128" s="1">
        <v>0</v>
      </c>
      <c r="AK128" s="1">
        <v>16.440404870560322</v>
      </c>
      <c r="AL128" s="1">
        <v>15.5</v>
      </c>
      <c r="AM128" s="1">
        <v>-1.350663144632064</v>
      </c>
      <c r="AN128" s="1">
        <v>2.9027637210432902</v>
      </c>
      <c r="AO128" s="1">
        <v>0</v>
      </c>
      <c r="AP128" s="1">
        <v>-0.61065319167701015</v>
      </c>
      <c r="AQ128" s="1">
        <v>0</v>
      </c>
    </row>
    <row r="129" spans="1:43" ht="13" customHeight="1">
      <c r="A129" s="22">
        <v>41196</v>
      </c>
      <c r="B129" s="23">
        <v>0.82638888888888884</v>
      </c>
      <c r="C129" s="24">
        <v>15.5</v>
      </c>
      <c r="D129" s="24">
        <v>63.9</v>
      </c>
      <c r="E129" s="1">
        <v>0.6</v>
      </c>
      <c r="F129" s="24">
        <v>0</v>
      </c>
      <c r="G129" s="24">
        <v>0</v>
      </c>
      <c r="H129" s="24">
        <v>291.21660442981101</v>
      </c>
      <c r="I129" s="24">
        <v>384.07374728695379</v>
      </c>
      <c r="J129" s="25">
        <v>0.60899999999999999</v>
      </c>
      <c r="K129" s="25">
        <v>4.3999999999999997E-2</v>
      </c>
      <c r="L129" s="1">
        <v>0.6</v>
      </c>
      <c r="M129" s="1">
        <v>2</v>
      </c>
      <c r="O129" s="25">
        <v>0.97</v>
      </c>
      <c r="X129" s="1">
        <v>16.84394301955955</v>
      </c>
      <c r="Y129" s="1">
        <v>12.586688166545221</v>
      </c>
      <c r="Z129" s="1">
        <v>13.49760966745677</v>
      </c>
      <c r="AA129" s="1">
        <v>-1.6640562461262269</v>
      </c>
      <c r="AB129" s="1">
        <v>59.819106267867802</v>
      </c>
      <c r="AC129" s="1">
        <v>15.610319389441781</v>
      </c>
      <c r="AD129" s="1">
        <v>15.5</v>
      </c>
      <c r="AE129" s="1">
        <v>1.02984287556303</v>
      </c>
      <c r="AF129" s="1">
        <v>-1.326885211221233</v>
      </c>
      <c r="AG129" s="1">
        <v>0</v>
      </c>
      <c r="AH129" s="1">
        <v>0.40848851091011212</v>
      </c>
      <c r="AI129" s="1">
        <v>0</v>
      </c>
      <c r="AJ129" s="1">
        <v>0</v>
      </c>
      <c r="AK129" s="1">
        <v>16.58332558803507</v>
      </c>
      <c r="AL129" s="1">
        <v>15.5</v>
      </c>
      <c r="AM129" s="1">
        <v>-1.031736102063608</v>
      </c>
      <c r="AN129" s="1">
        <v>2.7003213939580841</v>
      </c>
      <c r="AO129" s="1">
        <v>0</v>
      </c>
      <c r="AP129" s="1">
        <v>-0.58428001606014324</v>
      </c>
      <c r="AQ129" s="1">
        <v>0</v>
      </c>
    </row>
    <row r="130" spans="1:43" ht="13" customHeight="1">
      <c r="A130" s="22">
        <v>41196</v>
      </c>
      <c r="B130" s="23">
        <v>0.83333333333333337</v>
      </c>
      <c r="C130" s="24">
        <v>15.4</v>
      </c>
      <c r="D130" s="24">
        <v>64.3</v>
      </c>
      <c r="E130" s="1">
        <v>0.6</v>
      </c>
      <c r="F130" s="24">
        <v>0</v>
      </c>
      <c r="G130" s="24">
        <v>0</v>
      </c>
      <c r="H130" s="24">
        <v>291.74940183902788</v>
      </c>
      <c r="I130" s="24">
        <v>381.74940183902788</v>
      </c>
      <c r="J130" s="25">
        <v>0.60899999999999999</v>
      </c>
      <c r="K130" s="25">
        <v>4.3999999999999997E-2</v>
      </c>
      <c r="L130" s="1">
        <v>0.6</v>
      </c>
      <c r="M130" s="1">
        <v>2</v>
      </c>
      <c r="O130" s="25">
        <v>0.97</v>
      </c>
      <c r="X130" s="1">
        <v>16.736943706878399</v>
      </c>
      <c r="Y130" s="1">
        <v>12.527476566545211</v>
      </c>
      <c r="Z130" s="1">
        <v>13.38243311876338</v>
      </c>
      <c r="AA130" s="1">
        <v>-1.6889355110935891</v>
      </c>
      <c r="AB130" s="1">
        <v>61.158455387179927</v>
      </c>
      <c r="AC130" s="1">
        <v>15.488202785125649</v>
      </c>
      <c r="AD130" s="1">
        <v>15.4</v>
      </c>
      <c r="AE130" s="1">
        <v>1.0314368239526639</v>
      </c>
      <c r="AF130" s="1">
        <v>-1.3525285229259201</v>
      </c>
      <c r="AG130" s="1">
        <v>0</v>
      </c>
      <c r="AH130" s="1">
        <v>0.41047212291484592</v>
      </c>
      <c r="AI130" s="1">
        <v>0</v>
      </c>
      <c r="AJ130" s="1">
        <v>0</v>
      </c>
      <c r="AK130" s="1">
        <v>16.474955382850201</v>
      </c>
      <c r="AL130" s="1">
        <v>15.4</v>
      </c>
      <c r="AM130" s="1">
        <v>-1.035262358780942</v>
      </c>
      <c r="AN130" s="1">
        <v>2.6903901063337519</v>
      </c>
      <c r="AO130" s="1">
        <v>0</v>
      </c>
      <c r="AP130" s="1">
        <v>-0.57914882635941245</v>
      </c>
      <c r="AQ130" s="1">
        <v>0</v>
      </c>
    </row>
    <row r="131" spans="1:43" ht="13" customHeight="1">
      <c r="A131" s="22">
        <v>41196</v>
      </c>
      <c r="B131" s="23">
        <v>0.84027777777777779</v>
      </c>
      <c r="C131" s="24">
        <v>15.5</v>
      </c>
      <c r="D131" s="24">
        <v>64.3</v>
      </c>
      <c r="E131" s="1">
        <v>0.7</v>
      </c>
      <c r="F131" s="24">
        <v>0</v>
      </c>
      <c r="G131" s="24">
        <v>0</v>
      </c>
      <c r="H131" s="24">
        <v>295.50231871552518</v>
      </c>
      <c r="I131" s="24">
        <v>382.6451758583824</v>
      </c>
      <c r="J131" s="25">
        <v>0.60899999999999999</v>
      </c>
      <c r="K131" s="25">
        <v>4.3999999999999997E-2</v>
      </c>
      <c r="L131" s="1">
        <v>0.6</v>
      </c>
      <c r="M131" s="1">
        <v>2</v>
      </c>
      <c r="O131" s="25">
        <v>0.97</v>
      </c>
      <c r="X131" s="1">
        <v>16.696382991343992</v>
      </c>
      <c r="Y131" s="1">
        <v>12.615787860969419</v>
      </c>
      <c r="Z131" s="1">
        <v>13.49834164719249</v>
      </c>
      <c r="AA131" s="1">
        <v>-1.6472684327631339</v>
      </c>
      <c r="AB131" s="1">
        <v>58.911684896256538</v>
      </c>
      <c r="AC131" s="1">
        <v>15.4393316681432</v>
      </c>
      <c r="AD131" s="1">
        <v>15.5</v>
      </c>
      <c r="AE131" s="1">
        <v>0.64417984123798833</v>
      </c>
      <c r="AF131" s="1">
        <v>-1.07849074777235</v>
      </c>
      <c r="AG131" s="1">
        <v>0</v>
      </c>
      <c r="AH131" s="1">
        <v>0.37484890343390742</v>
      </c>
      <c r="AI131" s="1">
        <v>0</v>
      </c>
      <c r="AJ131" s="1">
        <v>0</v>
      </c>
      <c r="AK131" s="1">
        <v>16.42220038885052</v>
      </c>
      <c r="AL131" s="1">
        <v>15.5</v>
      </c>
      <c r="AM131" s="1">
        <v>-1.35019938393187</v>
      </c>
      <c r="AN131" s="1">
        <v>2.881120218699488</v>
      </c>
      <c r="AO131" s="1">
        <v>0</v>
      </c>
      <c r="AP131" s="1">
        <v>-0.60767139460498043</v>
      </c>
      <c r="AQ131" s="1">
        <v>0</v>
      </c>
    </row>
    <row r="132" spans="1:43" ht="13" customHeight="1">
      <c r="A132" s="22">
        <v>41196</v>
      </c>
      <c r="B132" s="23">
        <v>0.84722222222222221</v>
      </c>
      <c r="C132" s="24">
        <v>15.3</v>
      </c>
      <c r="D132" s="24">
        <v>64.8</v>
      </c>
      <c r="E132" s="1">
        <v>0.6</v>
      </c>
      <c r="F132" s="24">
        <v>0</v>
      </c>
      <c r="G132" s="24">
        <v>0</v>
      </c>
      <c r="H132" s="24">
        <v>302.6451758583824</v>
      </c>
      <c r="I132" s="24">
        <v>385.50231871552518</v>
      </c>
      <c r="J132" s="25">
        <v>0.60899999999999999</v>
      </c>
      <c r="K132" s="25">
        <v>4.3999999999999997E-2</v>
      </c>
      <c r="L132" s="1">
        <v>0.6</v>
      </c>
      <c r="M132" s="1">
        <v>2</v>
      </c>
      <c r="O132" s="25">
        <v>0.97</v>
      </c>
      <c r="X132" s="1">
        <v>16.62994439419726</v>
      </c>
      <c r="Y132" s="1">
        <v>12.47623896654521</v>
      </c>
      <c r="Z132" s="1">
        <v>13.871945786613329</v>
      </c>
      <c r="AA132" s="1">
        <v>-1.6235676376031669</v>
      </c>
      <c r="AB132" s="1">
        <v>57.626612103465909</v>
      </c>
      <c r="AC132" s="1">
        <v>15.949755138920811</v>
      </c>
      <c r="AD132" s="1">
        <v>15.3</v>
      </c>
      <c r="AE132" s="1">
        <v>1.057514796439613</v>
      </c>
      <c r="AF132" s="1">
        <v>-0.80924982049319139</v>
      </c>
      <c r="AG132" s="1">
        <v>0</v>
      </c>
      <c r="AH132" s="1">
        <v>0.40248657280144118</v>
      </c>
      <c r="AI132" s="1">
        <v>0</v>
      </c>
      <c r="AJ132" s="1">
        <v>0</v>
      </c>
      <c r="AK132" s="1">
        <v>16.871761644761872</v>
      </c>
      <c r="AL132" s="1">
        <v>15.3</v>
      </c>
      <c r="AM132" s="1">
        <v>-1.048557124490497</v>
      </c>
      <c r="AN132" s="1">
        <v>3.2187501277643782</v>
      </c>
      <c r="AO132" s="1">
        <v>0</v>
      </c>
      <c r="AP132" s="1">
        <v>-0.5975633300533193</v>
      </c>
      <c r="AQ132" s="1">
        <v>0</v>
      </c>
    </row>
    <row r="133" spans="1:43" ht="13" customHeight="1">
      <c r="A133" s="22">
        <v>41196</v>
      </c>
      <c r="B133" s="23">
        <v>0.85416666666666663</v>
      </c>
      <c r="C133" s="24">
        <v>15.3</v>
      </c>
      <c r="D133" s="24">
        <v>64.599999999999994</v>
      </c>
      <c r="E133" s="1">
        <v>0.7</v>
      </c>
      <c r="F133" s="24">
        <v>0</v>
      </c>
      <c r="G133" s="24">
        <v>0</v>
      </c>
      <c r="H133" s="24">
        <v>299.25579349501248</v>
      </c>
      <c r="I133" s="24">
        <v>383.54150778072682</v>
      </c>
      <c r="J133" s="25">
        <v>0.60899999999999999</v>
      </c>
      <c r="K133" s="25">
        <v>4.3999999999999997E-2</v>
      </c>
      <c r="L133" s="1">
        <v>0.6</v>
      </c>
      <c r="M133" s="1">
        <v>2</v>
      </c>
      <c r="O133" s="25">
        <v>0.97</v>
      </c>
      <c r="X133" s="1">
        <v>16.480144520982421</v>
      </c>
      <c r="Y133" s="1">
        <v>12.45585946096941</v>
      </c>
      <c r="Z133" s="1">
        <v>13.549171586080091</v>
      </c>
      <c r="AA133" s="1">
        <v>-1.6534127831924059</v>
      </c>
      <c r="AB133" s="1">
        <v>59.24410591028213</v>
      </c>
      <c r="AC133" s="1">
        <v>15.472947178077289</v>
      </c>
      <c r="AD133" s="1">
        <v>15.3</v>
      </c>
      <c r="AE133" s="1">
        <v>0.65365171618294782</v>
      </c>
      <c r="AF133" s="1">
        <v>-0.8490430823153341</v>
      </c>
      <c r="AG133" s="1">
        <v>0</v>
      </c>
      <c r="AH133" s="1">
        <v>0.36953799875203819</v>
      </c>
      <c r="AI133" s="1">
        <v>0</v>
      </c>
      <c r="AJ133" s="1">
        <v>0</v>
      </c>
      <c r="AK133" s="1">
        <v>16.444944654639819</v>
      </c>
      <c r="AL133" s="1">
        <v>15.3</v>
      </c>
      <c r="AM133" s="1">
        <v>-1.366131360667612</v>
      </c>
      <c r="AN133" s="1">
        <v>3.124419311579901</v>
      </c>
      <c r="AO133" s="1">
        <v>0</v>
      </c>
      <c r="AP133" s="1">
        <v>-0.61229958285892105</v>
      </c>
      <c r="AQ133" s="1">
        <v>0</v>
      </c>
    </row>
    <row r="134" spans="1:43" ht="13" customHeight="1">
      <c r="A134" s="22">
        <v>41196</v>
      </c>
      <c r="B134" s="23">
        <v>0.86111111111111116</v>
      </c>
      <c r="C134" s="24">
        <v>15.1</v>
      </c>
      <c r="D134" s="24">
        <v>66.3</v>
      </c>
      <c r="E134" s="1">
        <v>0.4</v>
      </c>
      <c r="F134" s="24">
        <v>0</v>
      </c>
      <c r="G134" s="24">
        <v>0</v>
      </c>
      <c r="H134" s="24">
        <v>299.98954956724322</v>
      </c>
      <c r="I134" s="24">
        <v>382.84669242438599</v>
      </c>
      <c r="J134" s="25">
        <v>0.60899999999999999</v>
      </c>
      <c r="K134" s="25">
        <v>4.3999999999999997E-2</v>
      </c>
      <c r="L134" s="1">
        <v>0.6</v>
      </c>
      <c r="M134" s="1">
        <v>2</v>
      </c>
      <c r="O134" s="25">
        <v>0.97</v>
      </c>
      <c r="X134" s="1">
        <v>16.79840681039968</v>
      </c>
      <c r="Y134" s="1">
        <v>12.42156237769681</v>
      </c>
      <c r="Z134" s="1">
        <v>13.81952458905292</v>
      </c>
      <c r="AA134" s="1">
        <v>-1.6808436592174669</v>
      </c>
      <c r="AB134" s="1">
        <v>60.723627011808858</v>
      </c>
      <c r="AC134" s="1">
        <v>16.32521659234024</v>
      </c>
      <c r="AD134" s="1">
        <v>15.1</v>
      </c>
      <c r="AE134" s="1">
        <v>1.9743044076022449</v>
      </c>
      <c r="AF134" s="1">
        <v>-1.2464780708898331</v>
      </c>
      <c r="AG134" s="1">
        <v>0</v>
      </c>
      <c r="AH134" s="1">
        <v>0.49821789533928279</v>
      </c>
      <c r="AI134" s="1">
        <v>0</v>
      </c>
      <c r="AJ134" s="1">
        <v>0</v>
      </c>
      <c r="AK134" s="1">
        <v>17.224358575081649</v>
      </c>
      <c r="AL134" s="1">
        <v>15.1</v>
      </c>
      <c r="AM134" s="1">
        <v>-0.3131232774570103</v>
      </c>
      <c r="AN134" s="1">
        <v>2.9656925441232418</v>
      </c>
      <c r="AO134" s="1">
        <v>0</v>
      </c>
      <c r="AP134" s="1">
        <v>-0.52748991669258205</v>
      </c>
      <c r="AQ134" s="1">
        <v>0</v>
      </c>
    </row>
    <row r="135" spans="1:43" ht="13" customHeight="1">
      <c r="A135" s="22">
        <v>41196</v>
      </c>
      <c r="B135" s="23">
        <v>0.86805555555555558</v>
      </c>
      <c r="C135" s="24">
        <v>14.8</v>
      </c>
      <c r="D135" s="24">
        <v>68.400000000000006</v>
      </c>
      <c r="E135" s="1">
        <v>0.4</v>
      </c>
      <c r="F135" s="24">
        <v>0</v>
      </c>
      <c r="G135" s="24">
        <v>0</v>
      </c>
      <c r="H135" s="24">
        <v>298.03152230615899</v>
      </c>
      <c r="I135" s="24">
        <v>378.03152230615899</v>
      </c>
      <c r="J135" s="25">
        <v>0.60899999999999999</v>
      </c>
      <c r="K135" s="25">
        <v>4.3999999999999997E-2</v>
      </c>
      <c r="L135" s="1">
        <v>0.6</v>
      </c>
      <c r="M135" s="1">
        <v>2</v>
      </c>
      <c r="O135" s="25">
        <v>0.97</v>
      </c>
      <c r="X135" s="1">
        <v>16.4858604808711</v>
      </c>
      <c r="Y135" s="1">
        <v>12.31227717769681</v>
      </c>
      <c r="Z135" s="1">
        <v>13.459368753448519</v>
      </c>
      <c r="AA135" s="1">
        <v>-1.7608146309917001</v>
      </c>
      <c r="AB135" s="1">
        <v>64.978426886836246</v>
      </c>
      <c r="AC135" s="1">
        <v>15.909857286236409</v>
      </c>
      <c r="AD135" s="1">
        <v>14.8</v>
      </c>
      <c r="AE135" s="1">
        <v>1.9802961121288689</v>
      </c>
      <c r="AF135" s="1">
        <v>-1.378826523763411</v>
      </c>
      <c r="AG135" s="1">
        <v>0</v>
      </c>
      <c r="AH135" s="1">
        <v>0.50938193504641638</v>
      </c>
      <c r="AI135" s="1">
        <v>0</v>
      </c>
      <c r="AJ135" s="1">
        <v>0</v>
      </c>
      <c r="AK135" s="1">
        <v>16.856536545742941</v>
      </c>
      <c r="AL135" s="1">
        <v>14.8</v>
      </c>
      <c r="AM135" s="1">
        <v>-0.32113342872548511</v>
      </c>
      <c r="AN135" s="1">
        <v>2.8846190100852711</v>
      </c>
      <c r="AO135" s="1">
        <v>0</v>
      </c>
      <c r="AP135" s="1">
        <v>-0.50608429407585731</v>
      </c>
      <c r="AQ135" s="1">
        <v>0</v>
      </c>
    </row>
    <row r="136" spans="1:43" ht="13" customHeight="1">
      <c r="A136" s="22">
        <v>41196</v>
      </c>
      <c r="B136" s="23">
        <v>0.875</v>
      </c>
      <c r="C136" s="24">
        <v>14.6</v>
      </c>
      <c r="D136" s="24">
        <v>69.5</v>
      </c>
      <c r="E136" s="1">
        <v>0.3</v>
      </c>
      <c r="F136" s="24">
        <v>0</v>
      </c>
      <c r="G136" s="24">
        <v>0</v>
      </c>
      <c r="H136" s="24">
        <v>301.63353647775318</v>
      </c>
      <c r="I136" s="24">
        <v>380.20496504918168</v>
      </c>
      <c r="J136" s="25">
        <v>0.60899999999999999</v>
      </c>
      <c r="K136" s="25">
        <v>4.3999999999999997E-2</v>
      </c>
      <c r="L136" s="1">
        <v>0.6</v>
      </c>
      <c r="M136" s="1">
        <v>2</v>
      </c>
      <c r="O136" s="25">
        <v>0.97</v>
      </c>
      <c r="X136" s="1">
        <v>16.543650767324511</v>
      </c>
      <c r="Y136" s="1">
        <v>12.21733108327261</v>
      </c>
      <c r="Z136" s="1">
        <v>13.683254797096099</v>
      </c>
      <c r="AA136" s="1">
        <v>-1.758683339562809</v>
      </c>
      <c r="AB136" s="1">
        <v>64.866452324208581</v>
      </c>
      <c r="AC136" s="1">
        <v>16.43524411787962</v>
      </c>
      <c r="AD136" s="1">
        <v>14.6</v>
      </c>
      <c r="AE136" s="1">
        <v>2.5563098257528281</v>
      </c>
      <c r="AF136" s="1">
        <v>-1.2818820036464911</v>
      </c>
      <c r="AG136" s="1">
        <v>0</v>
      </c>
      <c r="AH136" s="1">
        <v>0.56159689234374777</v>
      </c>
      <c r="AI136" s="1">
        <v>0</v>
      </c>
      <c r="AJ136" s="1">
        <v>0</v>
      </c>
      <c r="AK136" s="1">
        <v>17.327081131477179</v>
      </c>
      <c r="AL136" s="1">
        <v>14.6</v>
      </c>
      <c r="AM136" s="1">
        <v>0.1181835809616249</v>
      </c>
      <c r="AN136" s="1">
        <v>3.085715141650994</v>
      </c>
      <c r="AO136" s="1">
        <v>0</v>
      </c>
      <c r="AP136" s="1">
        <v>-0.47613781980774189</v>
      </c>
      <c r="AQ136" s="1">
        <v>0</v>
      </c>
    </row>
    <row r="137" spans="1:43" ht="13" customHeight="1">
      <c r="A137" s="22">
        <v>41196</v>
      </c>
      <c r="B137" s="23">
        <v>0.88194444444444442</v>
      </c>
      <c r="C137" s="24">
        <v>14.2</v>
      </c>
      <c r="D137" s="24">
        <v>72.099999999999994</v>
      </c>
      <c r="E137" s="1">
        <v>0.3</v>
      </c>
      <c r="F137" s="24">
        <v>0</v>
      </c>
      <c r="G137" s="24">
        <v>0</v>
      </c>
      <c r="H137" s="24">
        <v>300.58072633923013</v>
      </c>
      <c r="I137" s="24">
        <v>379.15215491065868</v>
      </c>
      <c r="J137" s="25">
        <v>0.60899999999999999</v>
      </c>
      <c r="K137" s="25">
        <v>4.3999999999999997E-2</v>
      </c>
      <c r="L137" s="1">
        <v>0.6</v>
      </c>
      <c r="M137" s="1">
        <v>2</v>
      </c>
      <c r="O137" s="25">
        <v>0.97</v>
      </c>
      <c r="X137" s="1">
        <v>16.13448573027047</v>
      </c>
      <c r="Y137" s="1">
        <v>12.047201483272611</v>
      </c>
      <c r="Z137" s="1">
        <v>13.45329348472022</v>
      </c>
      <c r="AA137" s="1">
        <v>-1.8282904468175929</v>
      </c>
      <c r="AB137" s="1">
        <v>68.472058263213157</v>
      </c>
      <c r="AC137" s="1">
        <v>16.15040698113804</v>
      </c>
      <c r="AD137" s="1">
        <v>14.2</v>
      </c>
      <c r="AE137" s="1">
        <v>2.5907632274133632</v>
      </c>
      <c r="AF137" s="1">
        <v>-1.2087491091419149</v>
      </c>
      <c r="AG137" s="1">
        <v>0</v>
      </c>
      <c r="AH137" s="1">
        <v>0.56928991621408531</v>
      </c>
      <c r="AI137" s="1">
        <v>0</v>
      </c>
      <c r="AJ137" s="1">
        <v>0</v>
      </c>
      <c r="AK137" s="1">
        <v>17.070574813524299</v>
      </c>
      <c r="AL137" s="1">
        <v>14.2</v>
      </c>
      <c r="AM137" s="1">
        <v>0.1164106342908706</v>
      </c>
      <c r="AN137" s="1">
        <v>3.2157500785900761</v>
      </c>
      <c r="AO137" s="1">
        <v>0</v>
      </c>
      <c r="AP137" s="1">
        <v>-0.46080516154095141</v>
      </c>
      <c r="AQ137" s="1">
        <v>0</v>
      </c>
    </row>
    <row r="138" spans="1:43" ht="13" customHeight="1">
      <c r="A138" s="22">
        <v>41196</v>
      </c>
      <c r="B138" s="23">
        <v>0.88888888888888884</v>
      </c>
      <c r="C138" s="24">
        <v>14.1</v>
      </c>
      <c r="D138" s="24">
        <v>72.3</v>
      </c>
      <c r="E138" s="1">
        <v>0.3</v>
      </c>
      <c r="F138" s="24">
        <v>0</v>
      </c>
      <c r="G138" s="24">
        <v>0</v>
      </c>
      <c r="H138" s="24">
        <v>300.05515131922812</v>
      </c>
      <c r="I138" s="24">
        <v>377.19800846208523</v>
      </c>
      <c r="J138" s="25">
        <v>0.60899999999999999</v>
      </c>
      <c r="K138" s="25">
        <v>4.3999999999999997E-2</v>
      </c>
      <c r="L138" s="1">
        <v>0.6</v>
      </c>
      <c r="M138" s="1">
        <v>2</v>
      </c>
      <c r="O138" s="25">
        <v>0.97</v>
      </c>
      <c r="X138" s="1">
        <v>16.03219447100696</v>
      </c>
      <c r="Y138" s="1">
        <v>11.968362683272611</v>
      </c>
      <c r="Z138" s="1">
        <v>13.306910185012971</v>
      </c>
      <c r="AA138" s="1">
        <v>-1.8576213753149611</v>
      </c>
      <c r="AB138" s="1">
        <v>69.955161525703758</v>
      </c>
      <c r="AC138" s="1">
        <v>15.99719876168108</v>
      </c>
      <c r="AD138" s="1">
        <v>14.1</v>
      </c>
      <c r="AE138" s="1">
        <v>2.5919184083123921</v>
      </c>
      <c r="AF138" s="1">
        <v>-1.2628316624856659</v>
      </c>
      <c r="AG138" s="1">
        <v>0</v>
      </c>
      <c r="AH138" s="1">
        <v>0.56907079122176174</v>
      </c>
      <c r="AI138" s="1">
        <v>0</v>
      </c>
      <c r="AJ138" s="1">
        <v>0</v>
      </c>
      <c r="AK138" s="1">
        <v>16.93480200483323</v>
      </c>
      <c r="AL138" s="1">
        <v>14.1</v>
      </c>
      <c r="AM138" s="1">
        <v>0.1136945330993152</v>
      </c>
      <c r="AN138" s="1">
        <v>3.17859166222184</v>
      </c>
      <c r="AO138" s="1">
        <v>0</v>
      </c>
      <c r="AP138" s="1">
        <v>-0.45665012787567089</v>
      </c>
      <c r="AQ138" s="1">
        <v>0</v>
      </c>
    </row>
    <row r="139" spans="1:43" ht="13" customHeight="1">
      <c r="A139" s="22">
        <v>41196</v>
      </c>
      <c r="B139" s="23">
        <v>0.89583333333333337</v>
      </c>
      <c r="C139" s="24">
        <v>14.1</v>
      </c>
      <c r="D139" s="24">
        <v>71.900000000000006</v>
      </c>
      <c r="E139" s="1">
        <v>0.3</v>
      </c>
      <c r="F139" s="24">
        <v>0</v>
      </c>
      <c r="G139" s="24">
        <v>0</v>
      </c>
      <c r="H139" s="24">
        <v>300.95870057664013</v>
      </c>
      <c r="I139" s="24">
        <v>378.10155771949718</v>
      </c>
      <c r="J139" s="25">
        <v>0.60899999999999999</v>
      </c>
      <c r="K139" s="25">
        <v>4.3999999999999997E-2</v>
      </c>
      <c r="L139" s="1">
        <v>0.6</v>
      </c>
      <c r="M139" s="1">
        <v>2</v>
      </c>
      <c r="O139" s="25">
        <v>0.97</v>
      </c>
      <c r="X139" s="1">
        <v>16.03219447100696</v>
      </c>
      <c r="Y139" s="1">
        <v>11.93693388327261</v>
      </c>
      <c r="Z139" s="1">
        <v>13.361197145899609</v>
      </c>
      <c r="AA139" s="1">
        <v>-1.8487720896444051</v>
      </c>
      <c r="AB139" s="1">
        <v>69.510217501854427</v>
      </c>
      <c r="AC139" s="1">
        <v>16.06627152038843</v>
      </c>
      <c r="AD139" s="1">
        <v>14.1</v>
      </c>
      <c r="AE139" s="1">
        <v>2.5978081597760849</v>
      </c>
      <c r="AF139" s="1">
        <v>-1.1962120896813619</v>
      </c>
      <c r="AG139" s="1">
        <v>0</v>
      </c>
      <c r="AH139" s="1">
        <v>0.56560869815593129</v>
      </c>
      <c r="AI139" s="1">
        <v>0</v>
      </c>
      <c r="AJ139" s="1">
        <v>0</v>
      </c>
      <c r="AK139" s="1">
        <v>16.994745952150382</v>
      </c>
      <c r="AL139" s="1">
        <v>14.1</v>
      </c>
      <c r="AM139" s="1">
        <v>0.1157148956392357</v>
      </c>
      <c r="AN139" s="1">
        <v>3.241185283288281</v>
      </c>
      <c r="AO139" s="1">
        <v>0</v>
      </c>
      <c r="AP139" s="1">
        <v>-0.46134212751311893</v>
      </c>
      <c r="AQ139" s="1">
        <v>0</v>
      </c>
    </row>
    <row r="140" spans="1:43" ht="13" customHeight="1">
      <c r="A140" s="22">
        <v>41196</v>
      </c>
      <c r="B140" s="23">
        <v>0.90277777777777779</v>
      </c>
      <c r="C140" s="24">
        <v>14</v>
      </c>
      <c r="D140" s="24">
        <v>73</v>
      </c>
      <c r="E140" s="1">
        <v>0.3</v>
      </c>
      <c r="F140" s="24">
        <v>0</v>
      </c>
      <c r="G140" s="24">
        <v>0</v>
      </c>
      <c r="H140" s="24">
        <v>302.76745608681517</v>
      </c>
      <c r="I140" s="24">
        <v>375.62459894395812</v>
      </c>
      <c r="J140" s="25">
        <v>0.60899999999999999</v>
      </c>
      <c r="K140" s="25">
        <v>4.3999999999999997E-2</v>
      </c>
      <c r="L140" s="1">
        <v>0.6</v>
      </c>
      <c r="M140" s="1">
        <v>2</v>
      </c>
      <c r="O140" s="25">
        <v>0.97</v>
      </c>
      <c r="X140" s="1">
        <v>15.929903211743451</v>
      </c>
      <c r="Y140" s="1">
        <v>11.92854708327261</v>
      </c>
      <c r="Z140" s="1">
        <v>13.31292785587878</v>
      </c>
      <c r="AA140" s="1">
        <v>-1.865813256053553</v>
      </c>
      <c r="AB140" s="1">
        <v>70.365034502813813</v>
      </c>
      <c r="AC140" s="1">
        <v>15.99299642773156</v>
      </c>
      <c r="AD140" s="1">
        <v>14</v>
      </c>
      <c r="AE140" s="1">
        <v>2.6065964542779412</v>
      </c>
      <c r="AF140" s="1">
        <v>-1.1830745093957189</v>
      </c>
      <c r="AG140" s="1">
        <v>0</v>
      </c>
      <c r="AH140" s="1">
        <v>0.57043640856301736</v>
      </c>
      <c r="AI140" s="1">
        <v>0</v>
      </c>
      <c r="AJ140" s="1">
        <v>0</v>
      </c>
      <c r="AK140" s="1">
        <v>16.929101864190621</v>
      </c>
      <c r="AL140" s="1">
        <v>14</v>
      </c>
      <c r="AM140" s="1">
        <v>0.11513634003595211</v>
      </c>
      <c r="AN140" s="1">
        <v>3.2698977172222432</v>
      </c>
      <c r="AO140" s="1">
        <v>0</v>
      </c>
      <c r="AP140" s="1">
        <v>-0.45509527652192089</v>
      </c>
      <c r="AQ140" s="1">
        <v>0</v>
      </c>
    </row>
    <row r="141" spans="1:43" ht="13" customHeight="1">
      <c r="A141" s="22">
        <v>41196</v>
      </c>
      <c r="B141" s="23">
        <v>0.90972222222222221</v>
      </c>
      <c r="C141" s="24">
        <v>13.7</v>
      </c>
      <c r="D141" s="24">
        <v>74.7</v>
      </c>
      <c r="E141" s="1">
        <v>0.3</v>
      </c>
      <c r="F141" s="24">
        <v>1.428571428571429</v>
      </c>
      <c r="G141" s="24">
        <v>0</v>
      </c>
      <c r="H141" s="24">
        <v>303.67266156433038</v>
      </c>
      <c r="I141" s="24">
        <v>375.10123299290183</v>
      </c>
      <c r="J141" s="25">
        <v>0.60899999999999999</v>
      </c>
      <c r="K141" s="25">
        <v>4.3999999999999997E-2</v>
      </c>
      <c r="L141" s="1">
        <v>0.6</v>
      </c>
      <c r="M141" s="1">
        <v>2</v>
      </c>
      <c r="O141" s="25">
        <v>0.97</v>
      </c>
      <c r="X141" s="1">
        <v>15.62302943395291</v>
      </c>
      <c r="Y141" s="1">
        <v>11.77568588327261</v>
      </c>
      <c r="Z141" s="1">
        <v>13.20308245481832</v>
      </c>
      <c r="AA141" s="1">
        <v>-1.908143240489909</v>
      </c>
      <c r="AB141" s="1">
        <v>72.450211416367722</v>
      </c>
      <c r="AC141" s="1">
        <v>15.855407196249409</v>
      </c>
      <c r="AD141" s="1">
        <v>13.7</v>
      </c>
      <c r="AE141" s="1">
        <v>2.639397696545263</v>
      </c>
      <c r="AF141" s="1">
        <v>-1.0561060316859849</v>
      </c>
      <c r="AG141" s="1">
        <v>0</v>
      </c>
      <c r="AH141" s="1">
        <v>0.57313589556827838</v>
      </c>
      <c r="AI141" s="1">
        <v>0</v>
      </c>
      <c r="AJ141" s="1">
        <v>0</v>
      </c>
      <c r="AK141" s="1">
        <v>16.80293796810378</v>
      </c>
      <c r="AL141" s="1">
        <v>13.7</v>
      </c>
      <c r="AM141" s="1">
        <v>0.1159697555394385</v>
      </c>
      <c r="AN141" s="1">
        <v>3.4362267795271029</v>
      </c>
      <c r="AO141" s="1">
        <v>0</v>
      </c>
      <c r="AP141" s="1">
        <v>-0.44837089804876978</v>
      </c>
      <c r="AQ141" s="1">
        <v>0</v>
      </c>
    </row>
    <row r="142" spans="1:43" ht="13" customHeight="1">
      <c r="A142" s="22">
        <v>41196</v>
      </c>
      <c r="B142" s="23">
        <v>0.91666666666666663</v>
      </c>
      <c r="C142" s="24">
        <v>13.6</v>
      </c>
      <c r="D142" s="24">
        <v>75.099999999999994</v>
      </c>
      <c r="E142" s="1">
        <v>0.3</v>
      </c>
      <c r="F142" s="24">
        <v>2.8571428571428572</v>
      </c>
      <c r="G142" s="24">
        <v>0</v>
      </c>
      <c r="H142" s="24">
        <v>305.10123299290183</v>
      </c>
      <c r="I142" s="24">
        <v>376.52980442147322</v>
      </c>
      <c r="J142" s="25">
        <v>0.60899999999999999</v>
      </c>
      <c r="K142" s="25">
        <v>4.3999999999999997E-2</v>
      </c>
      <c r="L142" s="1">
        <v>0.6</v>
      </c>
      <c r="M142" s="1">
        <v>2</v>
      </c>
      <c r="O142" s="25">
        <v>0.97</v>
      </c>
      <c r="X142" s="1">
        <v>15.520738174689409</v>
      </c>
      <c r="Y142" s="1">
        <v>11.711218283272609</v>
      </c>
      <c r="Z142" s="1">
        <v>13.263492728728419</v>
      </c>
      <c r="AA142" s="1">
        <v>-1.907733536219919</v>
      </c>
      <c r="AB142" s="1">
        <v>72.430304918517436</v>
      </c>
      <c r="AC142" s="1">
        <v>15.91740762796279</v>
      </c>
      <c r="AD142" s="1">
        <v>13.6</v>
      </c>
      <c r="AE142" s="1">
        <v>2.659694368581123</v>
      </c>
      <c r="AF142" s="1">
        <v>-0.91294009840428769</v>
      </c>
      <c r="AG142" s="1">
        <v>0</v>
      </c>
      <c r="AH142" s="1">
        <v>0.57165229356200542</v>
      </c>
      <c r="AI142" s="1">
        <v>0</v>
      </c>
      <c r="AJ142" s="1">
        <v>0</v>
      </c>
      <c r="AK142" s="1">
        <v>16.854714738837529</v>
      </c>
      <c r="AL142" s="1">
        <v>13.6</v>
      </c>
      <c r="AM142" s="1">
        <v>0.11938860786538349</v>
      </c>
      <c r="AN142" s="1">
        <v>3.5870922936126122</v>
      </c>
      <c r="AO142" s="1">
        <v>0</v>
      </c>
      <c r="AP142" s="1">
        <v>-0.45089677012147789</v>
      </c>
      <c r="AQ142" s="1">
        <v>0</v>
      </c>
    </row>
    <row r="143" spans="1:43" ht="13" customHeight="1">
      <c r="A143" s="22">
        <v>41196</v>
      </c>
      <c r="B143" s="23">
        <v>0.92361111111111116</v>
      </c>
      <c r="C143" s="24">
        <v>13.6</v>
      </c>
      <c r="D143" s="24">
        <v>75.599999999999994</v>
      </c>
      <c r="E143" s="1">
        <v>0.4</v>
      </c>
      <c r="F143" s="24">
        <v>0</v>
      </c>
      <c r="G143" s="24">
        <v>0</v>
      </c>
      <c r="H143" s="24">
        <v>302.24409013575888</v>
      </c>
      <c r="I143" s="24">
        <v>373.67266156433038</v>
      </c>
      <c r="J143" s="25">
        <v>0.60899999999999999</v>
      </c>
      <c r="K143" s="25">
        <v>4.3999999999999997E-2</v>
      </c>
      <c r="L143" s="1">
        <v>0.6</v>
      </c>
      <c r="M143" s="1">
        <v>2</v>
      </c>
      <c r="O143" s="25">
        <v>0.97</v>
      </c>
      <c r="X143" s="1">
        <v>15.235675162756751</v>
      </c>
      <c r="Y143" s="1">
        <v>11.74580997769681</v>
      </c>
      <c r="Z143" s="1">
        <v>12.959973333662621</v>
      </c>
      <c r="AA143" s="1">
        <v>-1.937789958668253</v>
      </c>
      <c r="AB143" s="1">
        <v>73.875475798164729</v>
      </c>
      <c r="AC143" s="1">
        <v>15.26799353357791</v>
      </c>
      <c r="AD143" s="1">
        <v>13.6</v>
      </c>
      <c r="AE143" s="1">
        <v>2.0793218474521349</v>
      </c>
      <c r="AF143" s="1">
        <v>-0.93742229065741012</v>
      </c>
      <c r="AG143" s="1">
        <v>0</v>
      </c>
      <c r="AH143" s="1">
        <v>0.52735860517712185</v>
      </c>
      <c r="AI143" s="1">
        <v>0</v>
      </c>
      <c r="AJ143" s="1">
        <v>0</v>
      </c>
      <c r="AK143" s="1">
        <v>16.27167346697825</v>
      </c>
      <c r="AL143" s="1">
        <v>13.6</v>
      </c>
      <c r="AM143" s="1">
        <v>-0.34130606112062473</v>
      </c>
      <c r="AN143" s="1">
        <v>3.4851805564119962</v>
      </c>
      <c r="AO143" s="1">
        <v>0</v>
      </c>
      <c r="AP143" s="1">
        <v>-0.47110190441083338</v>
      </c>
      <c r="AQ143" s="1">
        <v>0</v>
      </c>
    </row>
    <row r="144" spans="1:43" ht="13" customHeight="1">
      <c r="A144" s="22">
        <v>41196</v>
      </c>
      <c r="B144" s="23">
        <v>0.93055555555555558</v>
      </c>
      <c r="C144" s="24">
        <v>13.7</v>
      </c>
      <c r="D144" s="24">
        <v>75</v>
      </c>
      <c r="E144" s="1">
        <v>0.3</v>
      </c>
      <c r="F144" s="24">
        <v>0</v>
      </c>
      <c r="G144" s="24">
        <v>0</v>
      </c>
      <c r="H144" s="24">
        <v>307.95837585004472</v>
      </c>
      <c r="I144" s="24">
        <v>379.38694727861611</v>
      </c>
      <c r="J144" s="25">
        <v>0.60899999999999999</v>
      </c>
      <c r="K144" s="25">
        <v>4.3999999999999997E-2</v>
      </c>
      <c r="L144" s="1">
        <v>0.6</v>
      </c>
      <c r="M144" s="1">
        <v>2</v>
      </c>
      <c r="O144" s="25">
        <v>0.97</v>
      </c>
      <c r="X144" s="1">
        <v>15.62302943395291</v>
      </c>
      <c r="Y144" s="1">
        <v>11.79890708327261</v>
      </c>
      <c r="Z144" s="1">
        <v>13.533806747603821</v>
      </c>
      <c r="AA144" s="1">
        <v>-1.8603863144413999</v>
      </c>
      <c r="AB144" s="1">
        <v>70.09372199465929</v>
      </c>
      <c r="AC144" s="1">
        <v>16.200851410922208</v>
      </c>
      <c r="AD144" s="1">
        <v>13.7</v>
      </c>
      <c r="AE144" s="1">
        <v>2.6700522076711271</v>
      </c>
      <c r="AF144" s="1">
        <v>-0.73939276720798974</v>
      </c>
      <c r="AG144" s="1">
        <v>0</v>
      </c>
      <c r="AH144" s="1">
        <v>0.57107885544035952</v>
      </c>
      <c r="AI144" s="1">
        <v>0</v>
      </c>
      <c r="AJ144" s="1">
        <v>0</v>
      </c>
      <c r="AK144" s="1">
        <v>17.104100472966181</v>
      </c>
      <c r="AL144" s="1">
        <v>13.7</v>
      </c>
      <c r="AM144" s="1">
        <v>0.12595853522643241</v>
      </c>
      <c r="AN144" s="1">
        <v>3.7380208634827858</v>
      </c>
      <c r="AO144" s="1">
        <v>0</v>
      </c>
      <c r="AP144" s="1">
        <v>-0.45910627343012339</v>
      </c>
      <c r="AQ144" s="1">
        <v>0</v>
      </c>
    </row>
    <row r="145" spans="1:43" ht="13" customHeight="1">
      <c r="A145" s="22">
        <v>41196</v>
      </c>
      <c r="B145" s="23">
        <v>0.9375</v>
      </c>
      <c r="C145" s="24">
        <v>13.8</v>
      </c>
      <c r="D145" s="24">
        <v>75.7</v>
      </c>
      <c r="E145" s="1">
        <v>0.3</v>
      </c>
      <c r="F145" s="24">
        <v>0</v>
      </c>
      <c r="G145" s="24">
        <v>0</v>
      </c>
      <c r="H145" s="24">
        <v>309.9103132296724</v>
      </c>
      <c r="I145" s="24">
        <v>377.05317037252951</v>
      </c>
      <c r="J145" s="25">
        <v>0.60899999999999999</v>
      </c>
      <c r="K145" s="25">
        <v>4.3999999999999997E-2</v>
      </c>
      <c r="L145" s="1">
        <v>0.6</v>
      </c>
      <c r="M145" s="1">
        <v>2</v>
      </c>
      <c r="O145" s="25">
        <v>0.97</v>
      </c>
      <c r="X145" s="1">
        <v>15.72532069321643</v>
      </c>
      <c r="Y145" s="1">
        <v>11.94869428327261</v>
      </c>
      <c r="Z145" s="1">
        <v>13.602892922446131</v>
      </c>
      <c r="AA145" s="1">
        <v>-1.844387329797945</v>
      </c>
      <c r="AB145" s="1">
        <v>69.288931255334006</v>
      </c>
      <c r="AC145" s="1">
        <v>16.246854319857452</v>
      </c>
      <c r="AD145" s="1">
        <v>13.8</v>
      </c>
      <c r="AE145" s="1">
        <v>2.6599382482207998</v>
      </c>
      <c r="AF145" s="1">
        <v>-0.79070760159916242</v>
      </c>
      <c r="AG145" s="1">
        <v>0</v>
      </c>
      <c r="AH145" s="1">
        <v>0.57848774375010936</v>
      </c>
      <c r="AI145" s="1">
        <v>0</v>
      </c>
      <c r="AJ145" s="1">
        <v>0</v>
      </c>
      <c r="AK145" s="1">
        <v>17.146987055957869</v>
      </c>
      <c r="AL145" s="1">
        <v>13.8</v>
      </c>
      <c r="AM145" s="1">
        <v>0.12547615736797091</v>
      </c>
      <c r="AN145" s="1">
        <v>3.6767309571749678</v>
      </c>
      <c r="AO145" s="1">
        <v>0</v>
      </c>
      <c r="AP145" s="1">
        <v>-0.45446728284341942</v>
      </c>
      <c r="AQ145" s="1">
        <v>0</v>
      </c>
    </row>
    <row r="146" spans="1:43" ht="13" customHeight="1">
      <c r="A146" s="22">
        <v>41196</v>
      </c>
      <c r="B146" s="23">
        <v>0.94444444444444442</v>
      </c>
      <c r="C146" s="24">
        <v>13.8</v>
      </c>
      <c r="D146" s="24">
        <v>75.900000000000006</v>
      </c>
      <c r="E146" s="1">
        <v>0.3</v>
      </c>
      <c r="F146" s="24">
        <v>0</v>
      </c>
      <c r="G146" s="24">
        <v>0</v>
      </c>
      <c r="H146" s="24">
        <v>312.24409013575888</v>
      </c>
      <c r="I146" s="24">
        <v>373.67266156433038</v>
      </c>
      <c r="J146" s="25">
        <v>0.60899999999999999</v>
      </c>
      <c r="K146" s="25">
        <v>4.3999999999999997E-2</v>
      </c>
      <c r="L146" s="1">
        <v>0.6</v>
      </c>
      <c r="M146" s="1">
        <v>2</v>
      </c>
      <c r="O146" s="25">
        <v>0.97</v>
      </c>
      <c r="X146" s="1">
        <v>15.72532069321643</v>
      </c>
      <c r="Y146" s="1">
        <v>11.96423348327261</v>
      </c>
      <c r="Z146" s="1">
        <v>13.570571875413879</v>
      </c>
      <c r="AA146" s="1">
        <v>-1.849607421292593</v>
      </c>
      <c r="AB146" s="1">
        <v>69.552313235034248</v>
      </c>
      <c r="AC146" s="1">
        <v>16.206566870370331</v>
      </c>
      <c r="AD146" s="1">
        <v>13.8</v>
      </c>
      <c r="AE146" s="1">
        <v>2.6564562957171218</v>
      </c>
      <c r="AF146" s="1">
        <v>-0.82926919273645594</v>
      </c>
      <c r="AG146" s="1">
        <v>0</v>
      </c>
      <c r="AH146" s="1">
        <v>0.5802588829755152</v>
      </c>
      <c r="AI146" s="1">
        <v>0</v>
      </c>
      <c r="AJ146" s="1">
        <v>0</v>
      </c>
      <c r="AK146" s="1">
        <v>17.11195742202738</v>
      </c>
      <c r="AL146" s="1">
        <v>13.8</v>
      </c>
      <c r="AM146" s="1">
        <v>0.12426924610482119</v>
      </c>
      <c r="AN146" s="1">
        <v>3.640369913137314</v>
      </c>
      <c r="AO146" s="1">
        <v>0</v>
      </c>
      <c r="AP146" s="1">
        <v>-0.45191598684350498</v>
      </c>
      <c r="AQ146" s="1">
        <v>0</v>
      </c>
    </row>
    <row r="147" spans="1:43" ht="13" customHeight="1">
      <c r="A147" s="22">
        <v>41196</v>
      </c>
      <c r="B147" s="23">
        <v>0.95138888888888884</v>
      </c>
      <c r="C147" s="24">
        <v>13.5</v>
      </c>
      <c r="D147" s="24">
        <v>77.900000000000006</v>
      </c>
      <c r="E147" s="1">
        <v>0.3</v>
      </c>
      <c r="F147" s="24">
        <v>0</v>
      </c>
      <c r="G147" s="24">
        <v>0</v>
      </c>
      <c r="H147" s="24">
        <v>311.19901174140352</v>
      </c>
      <c r="I147" s="24">
        <v>375.4847260271178</v>
      </c>
      <c r="J147" s="25">
        <v>0.60899999999999999</v>
      </c>
      <c r="K147" s="25">
        <v>4.3999999999999997E-2</v>
      </c>
      <c r="L147" s="1">
        <v>0.6</v>
      </c>
      <c r="M147" s="1">
        <v>2</v>
      </c>
      <c r="O147" s="25">
        <v>0.97</v>
      </c>
      <c r="X147" s="1">
        <v>15.418446915425889</v>
      </c>
      <c r="Y147" s="1">
        <v>11.83088508327261</v>
      </c>
      <c r="Z147" s="1">
        <v>13.48401274759888</v>
      </c>
      <c r="AA147" s="1">
        <v>-1.8892090722029891</v>
      </c>
      <c r="AB147" s="1">
        <v>71.524503406768076</v>
      </c>
      <c r="AC147" s="1">
        <v>16.086177014696531</v>
      </c>
      <c r="AD147" s="1">
        <v>13.5</v>
      </c>
      <c r="AE147" s="1">
        <v>2.6907219891778951</v>
      </c>
      <c r="AF147" s="1">
        <v>-0.68788080163706156</v>
      </c>
      <c r="AG147" s="1">
        <v>0</v>
      </c>
      <c r="AH147" s="1">
        <v>0.58426642398743001</v>
      </c>
      <c r="AI147" s="1">
        <v>0</v>
      </c>
      <c r="AJ147" s="1">
        <v>0</v>
      </c>
      <c r="AK147" s="1">
        <v>17.000827701927818</v>
      </c>
      <c r="AL147" s="1">
        <v>13.5</v>
      </c>
      <c r="AM147" s="1">
        <v>0.1256352295895016</v>
      </c>
      <c r="AN147" s="1">
        <v>3.8204652493985432</v>
      </c>
      <c r="AO147" s="1">
        <v>0</v>
      </c>
      <c r="AP147" s="1">
        <v>-0.44446221563884047</v>
      </c>
      <c r="AQ147" s="1">
        <v>0</v>
      </c>
    </row>
    <row r="148" spans="1:43" ht="13" customHeight="1">
      <c r="A148" s="22">
        <v>41196</v>
      </c>
      <c r="B148" s="23">
        <v>0.95833333333333337</v>
      </c>
      <c r="C148" s="24">
        <v>13.3</v>
      </c>
      <c r="D148" s="24">
        <v>79</v>
      </c>
      <c r="E148" s="1">
        <v>0.2</v>
      </c>
      <c r="F148" s="24">
        <v>0</v>
      </c>
      <c r="G148" s="24">
        <v>0</v>
      </c>
      <c r="H148" s="24">
        <v>313.53444138081568</v>
      </c>
      <c r="I148" s="24">
        <v>373.53444138081568</v>
      </c>
      <c r="J148" s="25">
        <v>0.60899999999999999</v>
      </c>
      <c r="K148" s="25">
        <v>4.3999999999999997E-2</v>
      </c>
      <c r="L148" s="1">
        <v>0.6</v>
      </c>
      <c r="M148" s="1">
        <v>2</v>
      </c>
      <c r="O148" s="25">
        <v>0.97</v>
      </c>
      <c r="X148" s="1">
        <v>15.60156302681523</v>
      </c>
      <c r="Y148" s="1">
        <v>11.726215388848409</v>
      </c>
      <c r="Z148" s="1">
        <v>13.50908616565048</v>
      </c>
      <c r="AA148" s="1">
        <v>-1.916955381063995</v>
      </c>
      <c r="AB148" s="1">
        <v>72.877008603246338</v>
      </c>
      <c r="AC148" s="1">
        <v>16.513399612440729</v>
      </c>
      <c r="AD148" s="1">
        <v>13.3</v>
      </c>
      <c r="AE148" s="1">
        <v>3.364090667236757</v>
      </c>
      <c r="AF148" s="1">
        <v>-0.79582093308917701</v>
      </c>
      <c r="AG148" s="1">
        <v>0</v>
      </c>
      <c r="AH148" s="1">
        <v>0.64588510299418445</v>
      </c>
      <c r="AI148" s="1">
        <v>0</v>
      </c>
      <c r="AJ148" s="1">
        <v>0</v>
      </c>
      <c r="AK148" s="1">
        <v>17.390769947647449</v>
      </c>
      <c r="AL148" s="1">
        <v>13.3</v>
      </c>
      <c r="AM148" s="1">
        <v>0.65278527661341113</v>
      </c>
      <c r="AN148" s="1">
        <v>3.8428183253762551</v>
      </c>
      <c r="AO148" s="1">
        <v>0</v>
      </c>
      <c r="AP148" s="1">
        <v>-0.40417554013464602</v>
      </c>
      <c r="AQ148" s="1">
        <v>0</v>
      </c>
    </row>
    <row r="149" spans="1:43" ht="13" customHeight="1">
      <c r="A149" s="22">
        <v>41196</v>
      </c>
      <c r="B149" s="23">
        <v>0.96527777777777779</v>
      </c>
      <c r="C149" s="24">
        <v>13.2</v>
      </c>
      <c r="D149" s="24">
        <v>79.3</v>
      </c>
      <c r="E149" s="1">
        <v>0.3</v>
      </c>
      <c r="F149" s="24">
        <v>0</v>
      </c>
      <c r="G149" s="24">
        <v>0</v>
      </c>
      <c r="H149" s="24">
        <v>310.6772985236729</v>
      </c>
      <c r="I149" s="24">
        <v>374.96301280938718</v>
      </c>
      <c r="J149" s="25">
        <v>0.60899999999999999</v>
      </c>
      <c r="K149" s="25">
        <v>4.3999999999999997E-2</v>
      </c>
      <c r="L149" s="1">
        <v>0.6</v>
      </c>
      <c r="M149" s="1">
        <v>2</v>
      </c>
      <c r="O149" s="25">
        <v>0.97</v>
      </c>
      <c r="X149" s="1">
        <v>15.111573137635361</v>
      </c>
      <c r="Y149" s="1">
        <v>11.64846628327261</v>
      </c>
      <c r="Z149" s="1">
        <v>13.309154962342429</v>
      </c>
      <c r="AA149" s="1">
        <v>-1.940355353805469</v>
      </c>
      <c r="AB149" s="1">
        <v>73.997361261255406</v>
      </c>
      <c r="AC149" s="1">
        <v>15.88838338825059</v>
      </c>
      <c r="AD149" s="1">
        <v>13.2</v>
      </c>
      <c r="AE149" s="1">
        <v>2.7179526568724039</v>
      </c>
      <c r="AF149" s="1">
        <v>-0.6136367253061018</v>
      </c>
      <c r="AG149" s="1">
        <v>0</v>
      </c>
      <c r="AH149" s="1">
        <v>0.58508066212186627</v>
      </c>
      <c r="AI149" s="1">
        <v>0</v>
      </c>
      <c r="AJ149" s="1">
        <v>0</v>
      </c>
      <c r="AK149" s="1">
        <v>16.821941261550489</v>
      </c>
      <c r="AL149" s="1">
        <v>13.2</v>
      </c>
      <c r="AM149" s="1">
        <v>0.1247973211259697</v>
      </c>
      <c r="AN149" s="1">
        <v>3.9357539598261648</v>
      </c>
      <c r="AO149" s="1">
        <v>0</v>
      </c>
      <c r="AP149" s="1">
        <v>-0.43772780714916432</v>
      </c>
      <c r="AQ149" s="1">
        <v>0</v>
      </c>
    </row>
    <row r="150" spans="1:43" ht="13" customHeight="1">
      <c r="A150" s="22">
        <v>41196</v>
      </c>
      <c r="B150" s="23">
        <v>0.97222222222222221</v>
      </c>
      <c r="C150" s="24">
        <v>13.2</v>
      </c>
      <c r="D150" s="24">
        <v>80.099999999999994</v>
      </c>
      <c r="E150" s="1">
        <v>0.4</v>
      </c>
      <c r="F150" s="24">
        <v>0</v>
      </c>
      <c r="G150" s="24">
        <v>0</v>
      </c>
      <c r="H150" s="24">
        <v>303.53444138081579</v>
      </c>
      <c r="I150" s="24">
        <v>373.53444138081568</v>
      </c>
      <c r="J150" s="25">
        <v>0.60899999999999999</v>
      </c>
      <c r="K150" s="25">
        <v>4.3999999999999997E-2</v>
      </c>
      <c r="L150" s="1">
        <v>0.6</v>
      </c>
      <c r="M150" s="1">
        <v>2</v>
      </c>
      <c r="O150" s="25">
        <v>0.97</v>
      </c>
      <c r="X150" s="1">
        <v>14.818946723385301</v>
      </c>
      <c r="Y150" s="1">
        <v>11.70525717769681</v>
      </c>
      <c r="Z150" s="1">
        <v>12.90216241121591</v>
      </c>
      <c r="AA150" s="1">
        <v>-1.9853823407431981</v>
      </c>
      <c r="AB150" s="1">
        <v>76.096996175491725</v>
      </c>
      <c r="AC150" s="1">
        <v>15.11520953762178</v>
      </c>
      <c r="AD150" s="1">
        <v>13.2</v>
      </c>
      <c r="AE150" s="1">
        <v>2.117708202079986</v>
      </c>
      <c r="AF150" s="1">
        <v>-0.74622887891747658</v>
      </c>
      <c r="AG150" s="1">
        <v>0</v>
      </c>
      <c r="AH150" s="1">
        <v>0.54505610793876691</v>
      </c>
      <c r="AI150" s="1">
        <v>0</v>
      </c>
      <c r="AJ150" s="1">
        <v>0</v>
      </c>
      <c r="AK150" s="1">
        <v>16.130945841568799</v>
      </c>
      <c r="AL150" s="1">
        <v>13.2</v>
      </c>
      <c r="AM150" s="1">
        <v>-0.34778625791105272</v>
      </c>
      <c r="AN150" s="1">
        <v>3.7312692304927042</v>
      </c>
      <c r="AO150" s="1">
        <v>0</v>
      </c>
      <c r="AP150" s="1">
        <v>-0.4513847954427444</v>
      </c>
      <c r="AQ150" s="1">
        <v>0</v>
      </c>
    </row>
    <row r="151" spans="1:43" ht="13" customHeight="1">
      <c r="A151" s="22">
        <v>41196</v>
      </c>
      <c r="B151" s="23">
        <v>0.97916666666666663</v>
      </c>
      <c r="C151" s="24">
        <v>13.6</v>
      </c>
      <c r="D151" s="24">
        <v>80</v>
      </c>
      <c r="E151" s="1">
        <v>0.4</v>
      </c>
      <c r="F151" s="24">
        <v>4.2857142857142856</v>
      </c>
      <c r="G151" s="24">
        <v>0</v>
      </c>
      <c r="H151" s="24">
        <v>307.95837585004472</v>
      </c>
      <c r="I151" s="24">
        <v>376.52980442147322</v>
      </c>
      <c r="J151" s="25">
        <v>0.60899999999999999</v>
      </c>
      <c r="K151" s="25">
        <v>4.3999999999999997E-2</v>
      </c>
      <c r="L151" s="1">
        <v>0.6</v>
      </c>
      <c r="M151" s="1">
        <v>2</v>
      </c>
      <c r="O151" s="25">
        <v>0.97</v>
      </c>
      <c r="X151" s="1">
        <v>15.235675162756751</v>
      </c>
      <c r="Y151" s="1">
        <v>12.085102777696809</v>
      </c>
      <c r="Z151" s="1">
        <v>13.426474916753939</v>
      </c>
      <c r="AA151" s="1">
        <v>-1.87957330754646</v>
      </c>
      <c r="AB151" s="1">
        <v>71.049003857403022</v>
      </c>
      <c r="AC151" s="1">
        <v>15.63156670509723</v>
      </c>
      <c r="AD151" s="1">
        <v>13.6</v>
      </c>
      <c r="AE151" s="1">
        <v>2.1065963195398889</v>
      </c>
      <c r="AF151" s="1">
        <v>-0.62557342091576573</v>
      </c>
      <c r="AG151" s="1">
        <v>0</v>
      </c>
      <c r="AH151" s="1">
        <v>0.55165752026264514</v>
      </c>
      <c r="AI151" s="1">
        <v>0</v>
      </c>
      <c r="AJ151" s="1">
        <v>0</v>
      </c>
      <c r="AK151" s="1">
        <v>16.58965069961409</v>
      </c>
      <c r="AL151" s="1">
        <v>13.6</v>
      </c>
      <c r="AM151" s="1">
        <v>-0.33746757086230272</v>
      </c>
      <c r="AN151" s="1">
        <v>3.78789084573785</v>
      </c>
      <c r="AO151" s="1">
        <v>0</v>
      </c>
      <c r="AP151" s="1">
        <v>-0.45980322558889969</v>
      </c>
      <c r="AQ151" s="1">
        <v>0</v>
      </c>
    </row>
    <row r="152" spans="1:43" ht="13" customHeight="1">
      <c r="A152" s="22">
        <v>41196</v>
      </c>
      <c r="B152" s="23">
        <v>0.98611111111111116</v>
      </c>
      <c r="C152" s="24">
        <v>13.6</v>
      </c>
      <c r="D152" s="24">
        <v>80.099999999999994</v>
      </c>
      <c r="E152" s="1">
        <v>0.3</v>
      </c>
      <c r="F152" s="24">
        <v>0</v>
      </c>
      <c r="G152" s="24">
        <v>0</v>
      </c>
      <c r="H152" s="24">
        <v>307.43556119733518</v>
      </c>
      <c r="I152" s="24">
        <v>374.57841834019229</v>
      </c>
      <c r="J152" s="25">
        <v>0.60899999999999999</v>
      </c>
      <c r="K152" s="25">
        <v>4.3999999999999997E-2</v>
      </c>
      <c r="L152" s="1">
        <v>0.6</v>
      </c>
      <c r="M152" s="1">
        <v>2</v>
      </c>
      <c r="O152" s="25">
        <v>0.97</v>
      </c>
      <c r="X152" s="1">
        <v>15.520738174689409</v>
      </c>
      <c r="Y152" s="1">
        <v>12.096778283272609</v>
      </c>
      <c r="Z152" s="1">
        <v>13.442298908075101</v>
      </c>
      <c r="AA152" s="1">
        <v>-1.8928827612278989</v>
      </c>
      <c r="AB152" s="1">
        <v>71.705019686011823</v>
      </c>
      <c r="AC152" s="1">
        <v>15.972462844679869</v>
      </c>
      <c r="AD152" s="1">
        <v>13.6</v>
      </c>
      <c r="AE152" s="1">
        <v>2.6672913675175902</v>
      </c>
      <c r="AF152" s="1">
        <v>-0.89707783577128053</v>
      </c>
      <c r="AG152" s="1">
        <v>0</v>
      </c>
      <c r="AH152" s="1">
        <v>0.60321487841508925</v>
      </c>
      <c r="AI152" s="1">
        <v>0</v>
      </c>
      <c r="AJ152" s="1">
        <v>0</v>
      </c>
      <c r="AK152" s="1">
        <v>16.905305143163311</v>
      </c>
      <c r="AL152" s="1">
        <v>13.6</v>
      </c>
      <c r="AM152" s="1">
        <v>0.12026809825174049</v>
      </c>
      <c r="AN152" s="1">
        <v>3.6118860657700749</v>
      </c>
      <c r="AO152" s="1">
        <v>0</v>
      </c>
      <c r="AP152" s="1">
        <v>-0.42600859613251291</v>
      </c>
      <c r="AQ152" s="1">
        <v>0</v>
      </c>
    </row>
    <row r="153" spans="1:43" ht="13" customHeight="1">
      <c r="A153" s="22">
        <v>41196</v>
      </c>
      <c r="B153" s="23">
        <v>0.99305555555555558</v>
      </c>
      <c r="C153" s="24">
        <v>13.6</v>
      </c>
      <c r="D153" s="24">
        <v>79.8</v>
      </c>
      <c r="E153" s="1">
        <v>0.2</v>
      </c>
      <c r="F153" s="24">
        <v>0</v>
      </c>
      <c r="G153" s="24">
        <v>0</v>
      </c>
      <c r="H153" s="24">
        <v>308.34186888426069</v>
      </c>
      <c r="I153" s="24">
        <v>374.05615459854641</v>
      </c>
      <c r="J153" s="25">
        <v>0.60899999999999999</v>
      </c>
      <c r="K153" s="25">
        <v>4.3999999999999997E-2</v>
      </c>
      <c r="L153" s="1">
        <v>0.6</v>
      </c>
      <c r="M153" s="1">
        <v>2</v>
      </c>
      <c r="O153" s="25">
        <v>0.97</v>
      </c>
      <c r="X153" s="1">
        <v>15.90087240309532</v>
      </c>
      <c r="Y153" s="1">
        <v>12.0776089888484</v>
      </c>
      <c r="Z153" s="1">
        <v>13.53871948072144</v>
      </c>
      <c r="AA153" s="1">
        <v>-1.8915423083628811</v>
      </c>
      <c r="AB153" s="1">
        <v>71.639202871554502</v>
      </c>
      <c r="AC153" s="1">
        <v>16.482550276547649</v>
      </c>
      <c r="AD153" s="1">
        <v>13.6</v>
      </c>
      <c r="AE153" s="1">
        <v>3.3080332130561518</v>
      </c>
      <c r="AF153" s="1">
        <v>-1.085861764527241</v>
      </c>
      <c r="AG153" s="1">
        <v>0</v>
      </c>
      <c r="AH153" s="1">
        <v>0.66113417251957207</v>
      </c>
      <c r="AI153" s="1">
        <v>0</v>
      </c>
      <c r="AJ153" s="1">
        <v>0</v>
      </c>
      <c r="AK153" s="1">
        <v>17.370750636078949</v>
      </c>
      <c r="AL153" s="1">
        <v>13.6</v>
      </c>
      <c r="AM153" s="1">
        <v>0.63795094894961502</v>
      </c>
      <c r="AN153" s="1">
        <v>3.525034096924732</v>
      </c>
      <c r="AO153" s="1">
        <v>0</v>
      </c>
      <c r="AP153" s="1">
        <v>-0.3915765960091066</v>
      </c>
      <c r="AQ153" s="1">
        <v>0</v>
      </c>
    </row>
  </sheetData>
  <phoneticPr fontId="2"/>
  <conditionalFormatting sqref="A7">
    <cfRule type="expression" dxfId="11" priority="5" stopIfTrue="1">
      <formula>$A$6="Input directly"</formula>
    </cfRule>
    <cfRule type="expression" dxfId="10" priority="6">
      <formula>$A$6="Estimating by albedo"</formula>
    </cfRule>
  </conditionalFormatting>
  <conditionalFormatting sqref="A3:F7">
    <cfRule type="expression" dxfId="9" priority="3">
      <formula>$A$2="Exclude"</formula>
    </cfRule>
  </conditionalFormatting>
  <conditionalFormatting sqref="C7">
    <cfRule type="expression" dxfId="8" priority="4">
      <formula>$A$6="Input directly"</formula>
    </cfRule>
  </conditionalFormatting>
  <conditionalFormatting sqref="G2:K2">
    <cfRule type="expression" dxfId="7" priority="1">
      <formula>$A$2=Exclude</formula>
    </cfRule>
    <cfRule type="expression" dxfId="6" priority="2">
      <formula>$A$2="Exclude"</formula>
    </cfRule>
  </conditionalFormatting>
  <dataValidations count="9">
    <dataValidation type="list" allowBlank="1" showInputMessage="1" showErrorMessage="1" sqref="A2" xr:uid="{00000000-0002-0000-0500-000000000000}">
      <formula1>"Include,Exclude"</formula1>
    </dataValidation>
    <dataValidation type="list" allowBlank="1" showInputMessage="1" showErrorMessage="1" sqref="A6" xr:uid="{00000000-0002-0000-0500-000001000000}">
      <formula1>"Input directly,Estimate by albedo"</formula1>
    </dataValidation>
    <dataValidation type="list" allowBlank="1" showInputMessage="1" showErrorMessage="1" sqref="G7" xr:uid="{00000000-0002-0000-0500-000002000000}">
      <formula1>"Ld and Lu,Mean radiant temp"</formula1>
    </dataValidation>
    <dataValidation type="list" allowBlank="1" showInputMessage="1" showErrorMessage="1" sqref="G6" xr:uid="{00000000-0002-0000-0500-000003000000}">
      <formula1>"Relative humidity,Wet-bulb temp,Humidity ratio,Vapor pressure"</formula1>
    </dataValidation>
    <dataValidation type="list" allowBlank="1" showInputMessage="1" showErrorMessage="1" sqref="L3" xr:uid="{00000000-0002-0000-0500-000004000000}">
      <formula1>"Input directly,Two-node model"</formula1>
    </dataValidation>
    <dataValidation type="list" allowBlank="1" showInputMessage="1" showErrorMessage="1" sqref="G5" xr:uid="{00000000-0002-0000-0500-000005000000}">
      <formula1>"Two-node model, Kuwabara's formula"</formula1>
    </dataValidation>
    <dataValidation type="list" allowBlank="1" showInputMessage="1" showErrorMessage="1" sqref="A5" xr:uid="{00000000-0002-0000-0500-000006000000}">
      <formula1>"+14,+13,+12:45,+12,+11:30,+11,+10:30,+10,+9:30,+9,+8:45,+8,+7,+6:30,+6,+5:45,+5:30,+5,+4:30,+4,+3:30,+3,+2,+1,0,-1,-2,-3,-3:30,-4,-4:30,-5,-6,-7,-8,-9,-9:30,-10,-11,-12"</formula1>
    </dataValidation>
    <dataValidation type="list" allowBlank="1" showInputMessage="1" showErrorMessage="1" sqref="B4" xr:uid="{00000000-0002-0000-0500-000007000000}">
      <formula1>"E,W"</formula1>
    </dataValidation>
    <dataValidation type="list" allowBlank="1" showInputMessage="1" showErrorMessage="1" sqref="B3" xr:uid="{00000000-0002-0000-0500-000008000000}">
      <formula1>"N,S"</formula1>
    </dataValidation>
  </dataValidations>
  <pageMargins left="0.7" right="0.7" top="0.75" bottom="0.75" header="0.51200000000000001" footer="0.51200000000000001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38"/>
  <sheetViews>
    <sheetView zoomScale="70" zoomScaleNormal="70" workbookViewId="0">
      <pane ySplit="9" topLeftCell="A10" activePane="bottomLeft" state="frozenSplit"/>
      <selection pane="bottomLeft" activeCell="T11" sqref="T11"/>
    </sheetView>
  </sheetViews>
  <sheetFormatPr defaultColWidth="10.69921875" defaultRowHeight="13" customHeight="1"/>
  <cols>
    <col min="1" max="1" width="12.69921875" style="22" customWidth="1"/>
    <col min="2" max="2" width="12.69921875" style="23" customWidth="1"/>
    <col min="3" max="4" width="12.69921875" style="24" customWidth="1"/>
    <col min="5" max="5" width="12.69921875" style="1" customWidth="1"/>
    <col min="6" max="9" width="12.69921875" style="24" customWidth="1"/>
    <col min="10" max="11" width="12.69921875" style="25" customWidth="1"/>
    <col min="12" max="19" width="12.69921875" style="1" customWidth="1"/>
    <col min="20" max="16384" width="10.69921875" style="1"/>
  </cols>
  <sheetData>
    <row r="1" spans="1:43" ht="13" customHeight="1">
      <c r="A1" s="5" t="s">
        <v>0</v>
      </c>
      <c r="B1" s="5"/>
      <c r="C1" s="26"/>
      <c r="D1" s="26"/>
      <c r="E1" s="5"/>
      <c r="F1" s="26"/>
      <c r="G1" s="26"/>
      <c r="H1" s="26"/>
      <c r="I1" s="26"/>
      <c r="J1" s="27"/>
      <c r="K1" s="27"/>
      <c r="L1" s="5"/>
      <c r="M1" s="5"/>
      <c r="N1" s="5"/>
      <c r="O1" s="5"/>
      <c r="P1" s="5"/>
      <c r="Q1" s="5"/>
      <c r="R1" s="5"/>
      <c r="S1" s="5"/>
      <c r="T1" s="2"/>
      <c r="Z1" s="2"/>
    </row>
    <row r="2" spans="1:43" s="4" customFormat="1" ht="13" customHeight="1">
      <c r="A2" s="15" t="s">
        <v>55</v>
      </c>
      <c r="B2" s="16"/>
      <c r="C2" s="28" t="s">
        <v>2</v>
      </c>
      <c r="D2" s="28"/>
      <c r="E2" s="16"/>
      <c r="F2" s="28"/>
      <c r="G2" s="29">
        <v>0.97</v>
      </c>
      <c r="H2" s="28"/>
      <c r="I2" s="28" t="s">
        <v>3</v>
      </c>
      <c r="J2" s="30"/>
      <c r="K2" s="30"/>
      <c r="L2" s="29">
        <v>0.1</v>
      </c>
      <c r="M2" s="16"/>
      <c r="N2" s="16" t="s">
        <v>4</v>
      </c>
      <c r="O2" s="16"/>
      <c r="P2" s="16"/>
      <c r="Q2" s="16"/>
      <c r="R2" s="16"/>
      <c r="S2" s="16"/>
      <c r="T2" s="17"/>
      <c r="Z2" s="17"/>
      <c r="AD2" s="18"/>
      <c r="AK2" s="18"/>
    </row>
    <row r="3" spans="1:43" s="4" customFormat="1" ht="13" customHeight="1">
      <c r="A3" s="4">
        <v>35</v>
      </c>
      <c r="B3" s="15" t="s">
        <v>5</v>
      </c>
      <c r="C3" s="28" t="s">
        <v>6</v>
      </c>
      <c r="D3" s="28"/>
      <c r="E3" s="16"/>
      <c r="F3" s="28"/>
      <c r="G3" s="4">
        <v>0.7</v>
      </c>
      <c r="H3" s="28"/>
      <c r="I3" s="28" t="s">
        <v>7</v>
      </c>
      <c r="J3" s="30"/>
      <c r="K3" s="30"/>
      <c r="L3" s="15" t="s">
        <v>8</v>
      </c>
      <c r="M3" s="16"/>
      <c r="N3" s="16" t="s">
        <v>9</v>
      </c>
      <c r="O3" s="16"/>
      <c r="P3" s="16"/>
      <c r="Q3" s="16"/>
      <c r="R3" s="16"/>
      <c r="S3" s="16"/>
      <c r="T3" s="17"/>
      <c r="Z3" s="17"/>
      <c r="AD3" s="18"/>
      <c r="AK3" s="18"/>
    </row>
    <row r="4" spans="1:43" s="4" customFormat="1" ht="13" customHeight="1">
      <c r="A4" s="4">
        <v>135</v>
      </c>
      <c r="B4" s="15" t="s">
        <v>10</v>
      </c>
      <c r="C4" s="28" t="s">
        <v>11</v>
      </c>
      <c r="D4" s="28"/>
      <c r="E4" s="16"/>
      <c r="F4" s="28"/>
      <c r="G4" s="4">
        <v>0.7</v>
      </c>
      <c r="H4" s="28"/>
      <c r="I4" s="28" t="s">
        <v>12</v>
      </c>
      <c r="J4" s="30"/>
      <c r="K4" s="30"/>
      <c r="L4" s="16"/>
      <c r="M4" s="16"/>
      <c r="N4" s="16"/>
      <c r="O4" s="16"/>
      <c r="P4" s="16"/>
      <c r="Q4" s="16"/>
      <c r="R4" s="16"/>
      <c r="S4" s="16"/>
      <c r="T4" s="17"/>
      <c r="Z4" s="17"/>
      <c r="AD4" s="18"/>
      <c r="AK4" s="18"/>
    </row>
    <row r="5" spans="1:43" s="4" customFormat="1" ht="13" customHeight="1">
      <c r="A5" s="19" t="s">
        <v>13</v>
      </c>
      <c r="B5" s="16"/>
      <c r="C5" s="28" t="s">
        <v>14</v>
      </c>
      <c r="D5" s="28"/>
      <c r="E5" s="16"/>
      <c r="F5" s="28"/>
      <c r="G5" s="31" t="s">
        <v>8</v>
      </c>
      <c r="H5" s="28"/>
      <c r="I5" s="28" t="s">
        <v>16</v>
      </c>
      <c r="J5" s="30"/>
      <c r="K5" s="30"/>
      <c r="L5" s="16"/>
      <c r="M5" s="16"/>
      <c r="N5" s="16"/>
      <c r="O5" s="16"/>
      <c r="P5" s="16"/>
      <c r="Q5" s="16"/>
      <c r="R5" s="16"/>
      <c r="S5" s="16"/>
      <c r="T5" s="17"/>
      <c r="Z5" s="20"/>
    </row>
    <row r="6" spans="1:43" s="4" customFormat="1" ht="13" customHeight="1">
      <c r="A6" s="15" t="s">
        <v>17</v>
      </c>
      <c r="B6" s="16"/>
      <c r="C6" s="28" t="s">
        <v>18</v>
      </c>
      <c r="D6" s="28"/>
      <c r="E6" s="16"/>
      <c r="F6" s="28"/>
      <c r="G6" s="31" t="s">
        <v>19</v>
      </c>
      <c r="H6" s="28"/>
      <c r="I6" s="28" t="s">
        <v>20</v>
      </c>
      <c r="J6" s="30"/>
      <c r="K6" s="30"/>
      <c r="L6" s="16"/>
      <c r="M6" s="16"/>
      <c r="N6" s="16"/>
      <c r="O6" s="16"/>
      <c r="P6" s="16"/>
      <c r="Q6" s="16"/>
      <c r="R6" s="16"/>
      <c r="S6" s="16"/>
      <c r="T6" s="17"/>
      <c r="Z6" s="20"/>
    </row>
    <row r="7" spans="1:43" s="4" customFormat="1" ht="13" customHeight="1">
      <c r="A7" s="4">
        <v>0.15</v>
      </c>
      <c r="B7" s="16"/>
      <c r="C7" s="28" t="s">
        <v>21</v>
      </c>
      <c r="D7" s="28"/>
      <c r="E7" s="16"/>
      <c r="F7" s="28"/>
      <c r="G7" s="31" t="s">
        <v>71</v>
      </c>
      <c r="H7" s="28"/>
      <c r="I7" s="28" t="s">
        <v>23</v>
      </c>
      <c r="J7" s="30"/>
      <c r="K7" s="30"/>
      <c r="L7" s="16"/>
      <c r="M7" s="16"/>
      <c r="N7" s="16"/>
      <c r="O7" s="16"/>
      <c r="P7" s="16"/>
      <c r="Q7" s="16"/>
      <c r="R7" s="16"/>
      <c r="S7" s="16"/>
      <c r="T7" s="17"/>
      <c r="U7" s="17"/>
      <c r="X7" s="17"/>
      <c r="Z7" s="20"/>
      <c r="AD7" s="4" t="s">
        <v>24</v>
      </c>
      <c r="AE7" s="4" t="s">
        <v>24</v>
      </c>
      <c r="AF7" s="4" t="s">
        <v>24</v>
      </c>
      <c r="AG7" s="4" t="s">
        <v>24</v>
      </c>
      <c r="AH7" s="4" t="s">
        <v>24</v>
      </c>
      <c r="AI7" s="4" t="s">
        <v>24</v>
      </c>
      <c r="AJ7" s="4" t="s">
        <v>25</v>
      </c>
      <c r="AL7" s="4" t="s">
        <v>26</v>
      </c>
      <c r="AM7" s="4" t="s">
        <v>26</v>
      </c>
      <c r="AN7" s="4" t="s">
        <v>26</v>
      </c>
      <c r="AO7" s="4" t="s">
        <v>26</v>
      </c>
      <c r="AP7" s="4" t="s">
        <v>26</v>
      </c>
      <c r="AQ7" s="4" t="s">
        <v>26</v>
      </c>
    </row>
    <row r="8" spans="1:43" s="11" customFormat="1" ht="42" customHeight="1">
      <c r="A8" s="7" t="str">
        <f>IF(A2="Include","date","blank")</f>
        <v>blank</v>
      </c>
      <c r="B8" s="7" t="str">
        <f>IF(A2="Include","time","blank")</f>
        <v>blank</v>
      </c>
      <c r="C8" s="32" t="s">
        <v>27</v>
      </c>
      <c r="D8" s="33" t="str">
        <f>G6</f>
        <v>Relative humidity</v>
      </c>
      <c r="E8" s="21" t="s">
        <v>28</v>
      </c>
      <c r="F8" s="33" t="str">
        <f>IF(A2="Include","Kd","blank")</f>
        <v>blank</v>
      </c>
      <c r="G8" s="33" t="str">
        <f>IF(AND(A2="Include",A6="Input directly"),"Ku","blank")</f>
        <v>blank</v>
      </c>
      <c r="H8" s="33" t="str">
        <f t="array" ref="H8">_xlfn.IFS(G7="Ld and Lu","Ld",G7="Mean radiant temp","tr")</f>
        <v>tr</v>
      </c>
      <c r="I8" s="33" t="str">
        <f>IF(G7="Ld and Lu","Lu","blank")</f>
        <v>blank</v>
      </c>
      <c r="J8" s="34" t="str">
        <f>IF(A2="Include","Net solar absorptance of cloth: αcln","blank")</f>
        <v>blank</v>
      </c>
      <c r="K8" s="34" t="str">
        <f>IF(A2="Include","Net solar absorptance of skin: αskn","blank")</f>
        <v>blank</v>
      </c>
      <c r="L8" s="6" t="s">
        <v>29</v>
      </c>
      <c r="M8" s="6" t="s">
        <v>30</v>
      </c>
      <c r="N8" s="6" t="s">
        <v>31</v>
      </c>
      <c r="O8" s="7" t="str">
        <f>IF(A2="Include","sky factor","blank")</f>
        <v>blank</v>
      </c>
      <c r="P8" s="7" t="str">
        <f>IF(A2="Include","Is the place shaded? (y/n) ","blank")</f>
        <v>blank</v>
      </c>
      <c r="Q8" s="7" t="str">
        <f>IF(L3="Input directly","tsk","blank")</f>
        <v>blank</v>
      </c>
      <c r="R8" s="7" t="str">
        <f>IF(L3="Input directly","wettedness","blank")</f>
        <v>blank</v>
      </c>
      <c r="S8" s="7" t="str">
        <f>IF(L2=0,"blank","Heat loss at contact surface")</f>
        <v>Heat loss at contact surface</v>
      </c>
      <c r="T8" s="8" t="s">
        <v>32</v>
      </c>
      <c r="U8" s="9"/>
      <c r="V8" s="10" t="s">
        <v>33</v>
      </c>
      <c r="W8" s="11" t="s">
        <v>34</v>
      </c>
      <c r="X8" s="11" t="s">
        <v>35</v>
      </c>
      <c r="Y8" s="11" t="s">
        <v>36</v>
      </c>
      <c r="Z8" s="11" t="s">
        <v>37</v>
      </c>
      <c r="AA8" s="11" t="s">
        <v>38</v>
      </c>
      <c r="AB8" s="11" t="s">
        <v>39</v>
      </c>
      <c r="AC8" s="14" t="s">
        <v>40</v>
      </c>
      <c r="AD8" s="11" t="s">
        <v>41</v>
      </c>
      <c r="AE8" s="11" t="s">
        <v>42</v>
      </c>
      <c r="AF8" s="11" t="s">
        <v>43</v>
      </c>
      <c r="AG8" s="11" t="s">
        <v>44</v>
      </c>
      <c r="AH8" s="11" t="s">
        <v>45</v>
      </c>
      <c r="AI8" s="11" t="s">
        <v>46</v>
      </c>
      <c r="AJ8" s="14" t="s">
        <v>31</v>
      </c>
      <c r="AK8" s="11" t="s">
        <v>26</v>
      </c>
      <c r="AL8" s="11" t="s">
        <v>41</v>
      </c>
      <c r="AM8" s="11" t="s">
        <v>42</v>
      </c>
      <c r="AN8" s="11" t="s">
        <v>43</v>
      </c>
      <c r="AO8" s="11" t="s">
        <v>44</v>
      </c>
      <c r="AP8" s="11" t="s">
        <v>45</v>
      </c>
      <c r="AQ8" s="11" t="s">
        <v>46</v>
      </c>
    </row>
    <row r="9" spans="1:43" s="11" customFormat="1" ht="13" customHeight="1">
      <c r="A9" s="7" t="str">
        <f>IF(A2="Include","[ymd]","")</f>
        <v/>
      </c>
      <c r="B9" s="7" t="str">
        <f>IF(A2="Include","[h:m:s]","")</f>
        <v/>
      </c>
      <c r="C9" s="32" t="s">
        <v>47</v>
      </c>
      <c r="D9" s="33" t="str">
        <f t="array" ref="D9">_xlfn.IFS(G6="Relative humidity","[%]",G6="Wet-bulb temp","[°C]",G6="Humidity ratio","[g/kg(DA)]",G6="Vapor pressure","[hPa]")</f>
        <v>[%]</v>
      </c>
      <c r="E9" s="21" t="s">
        <v>48</v>
      </c>
      <c r="F9" s="33" t="str">
        <f>IF(A2="Include","[W/m2]","")</f>
        <v/>
      </c>
      <c r="G9" s="33" t="str">
        <f>IF(AND(A2="Include",A6="Input directly"),"[W/m2]","")</f>
        <v/>
      </c>
      <c r="H9" s="33" t="str">
        <f t="array" ref="H9">_xlfn.IFS(G7="Ld and Lu","[W/m2]",G7="Mean radiant temp","[°C]")</f>
        <v>[°C]</v>
      </c>
      <c r="I9" s="33" t="str">
        <f>IF(G7="Ld and Lu","[W/m2]","")</f>
        <v/>
      </c>
      <c r="J9" s="34" t="str">
        <f>IF(A2="Include","[-]","")</f>
        <v/>
      </c>
      <c r="K9" s="34" t="str">
        <f>IF(A2="Include","[-]","")</f>
        <v/>
      </c>
      <c r="L9" s="6" t="s">
        <v>49</v>
      </c>
      <c r="M9" s="6" t="s">
        <v>50</v>
      </c>
      <c r="N9" s="6" t="s">
        <v>47</v>
      </c>
      <c r="O9" s="7" t="str">
        <f>IF(A2="Include","[-]","")</f>
        <v/>
      </c>
      <c r="P9" s="7" t="str">
        <f>IF(A2="Include","[-]","")</f>
        <v/>
      </c>
      <c r="Q9" s="7" t="str">
        <f>IF(L3="Input directly","[°C]","")</f>
        <v/>
      </c>
      <c r="R9" s="7" t="str">
        <f>IF(L3="Input directly","[-]","")</f>
        <v/>
      </c>
      <c r="S9" s="7" t="str">
        <f>IF(L2=0,"","[W/m2]")</f>
        <v>[W/m2]</v>
      </c>
      <c r="T9" s="12" t="s">
        <v>51</v>
      </c>
      <c r="V9" s="13" t="s">
        <v>52</v>
      </c>
      <c r="W9" s="13"/>
      <c r="X9" s="11" t="s">
        <v>47</v>
      </c>
      <c r="Y9" s="11" t="s">
        <v>47</v>
      </c>
      <c r="Z9" s="11" t="s">
        <v>47</v>
      </c>
      <c r="AA9" s="11" t="s">
        <v>53</v>
      </c>
      <c r="AB9" s="11" t="s">
        <v>54</v>
      </c>
      <c r="AC9" s="11" t="s">
        <v>47</v>
      </c>
      <c r="AD9" s="11" t="s">
        <v>47</v>
      </c>
      <c r="AE9" s="11" t="s">
        <v>47</v>
      </c>
      <c r="AF9" s="11" t="s">
        <v>47</v>
      </c>
      <c r="AG9" s="11" t="s">
        <v>47</v>
      </c>
      <c r="AH9" s="11" t="s">
        <v>47</v>
      </c>
      <c r="AI9" s="11" t="s">
        <v>47</v>
      </c>
      <c r="AJ9" s="11" t="s">
        <v>47</v>
      </c>
      <c r="AK9" s="11" t="s">
        <v>47</v>
      </c>
      <c r="AL9" s="11" t="s">
        <v>47</v>
      </c>
      <c r="AM9" s="11" t="s">
        <v>47</v>
      </c>
      <c r="AN9" s="11" t="s">
        <v>47</v>
      </c>
      <c r="AO9" s="11" t="s">
        <v>47</v>
      </c>
      <c r="AP9" s="11" t="s">
        <v>47</v>
      </c>
      <c r="AQ9" s="11" t="s">
        <v>47</v>
      </c>
    </row>
    <row r="10" spans="1:43" ht="13" customHeight="1">
      <c r="C10" s="24">
        <v>22</v>
      </c>
      <c r="D10" s="24">
        <v>49.8</v>
      </c>
      <c r="E10" s="1">
        <v>0.33529999999999999</v>
      </c>
      <c r="H10" s="24">
        <v>22.3</v>
      </c>
      <c r="L10" s="1">
        <v>0.55000000000000004</v>
      </c>
      <c r="M10" s="1">
        <v>1</v>
      </c>
      <c r="S10" s="1">
        <v>-8.1999999999999993</v>
      </c>
      <c r="X10" s="1">
        <v>23.844453378309701</v>
      </c>
      <c r="Y10" s="1">
        <v>17.148492839999999</v>
      </c>
      <c r="Z10" s="1">
        <v>21.84888149347104</v>
      </c>
      <c r="AA10" s="1">
        <v>-2.636710239895689</v>
      </c>
      <c r="AB10" s="1">
        <v>95.869674555525165</v>
      </c>
      <c r="AC10" s="1">
        <v>20.868144486489431</v>
      </c>
      <c r="AD10" s="1">
        <v>19.8</v>
      </c>
      <c r="AE10" s="1">
        <v>-2.1315230699183489</v>
      </c>
      <c r="AF10" s="1">
        <v>0.30023509491314709</v>
      </c>
      <c r="AG10" s="1">
        <v>0</v>
      </c>
      <c r="AH10" s="1">
        <v>-0.49704581297806733</v>
      </c>
      <c r="AI10" s="1">
        <v>3.3977212752612549</v>
      </c>
      <c r="AJ10" s="1">
        <v>0</v>
      </c>
      <c r="AK10" s="1">
        <v>25.108012890650599</v>
      </c>
      <c r="AL10" s="1">
        <v>19.8</v>
      </c>
      <c r="AM10" s="1">
        <v>9.9047209155645397E-2</v>
      </c>
      <c r="AN10" s="1">
        <v>2.4498393392957429</v>
      </c>
      <c r="AO10" s="1">
        <v>0</v>
      </c>
      <c r="AP10" s="1">
        <v>-0.56520898021013144</v>
      </c>
      <c r="AQ10" s="1">
        <v>3.3250821465061131</v>
      </c>
    </row>
    <row r="11" spans="1:43" ht="13" customHeight="1">
      <c r="C11" s="24">
        <v>21.9</v>
      </c>
      <c r="D11" s="24">
        <v>49.8</v>
      </c>
      <c r="E11" s="1">
        <v>0.31430000000000002</v>
      </c>
      <c r="H11" s="24">
        <v>22.3</v>
      </c>
      <c r="L11" s="1">
        <v>0.55000000000000004</v>
      </c>
      <c r="M11" s="1">
        <v>1</v>
      </c>
      <c r="S11" s="1">
        <v>-7.1</v>
      </c>
      <c r="X11" s="1">
        <v>23.76894664831757</v>
      </c>
      <c r="Y11" s="1">
        <v>17.06165244</v>
      </c>
      <c r="Z11" s="1">
        <v>21.79824773603093</v>
      </c>
      <c r="AA11" s="1">
        <v>-2.6625039728822828</v>
      </c>
      <c r="AB11" s="1">
        <v>96.240747444780695</v>
      </c>
      <c r="AC11" s="1">
        <v>20.918550672200158</v>
      </c>
      <c r="AD11" s="1">
        <v>19.71</v>
      </c>
      <c r="AE11" s="1">
        <v>-2.0046047977163219</v>
      </c>
      <c r="AF11" s="1">
        <v>0.31043695568342322</v>
      </c>
      <c r="AG11" s="1">
        <v>0</v>
      </c>
      <c r="AH11" s="1">
        <v>-0.47187902941959109</v>
      </c>
      <c r="AI11" s="1">
        <v>3.3758124968170402</v>
      </c>
      <c r="AJ11" s="1">
        <v>0</v>
      </c>
      <c r="AK11" s="1">
        <v>25.147762606726481</v>
      </c>
      <c r="AL11" s="1">
        <v>19.71</v>
      </c>
      <c r="AM11" s="1">
        <v>0.19234188473001751</v>
      </c>
      <c r="AN11" s="1">
        <v>2.4835090196116991</v>
      </c>
      <c r="AO11" s="1">
        <v>0</v>
      </c>
      <c r="AP11" s="1">
        <v>-0.55028472488224078</v>
      </c>
      <c r="AQ11" s="1">
        <v>3.312926440459401</v>
      </c>
    </row>
    <row r="12" spans="1:43" ht="13" customHeight="1">
      <c r="C12" s="24">
        <v>22</v>
      </c>
      <c r="D12" s="24">
        <v>49.9</v>
      </c>
      <c r="E12" s="1">
        <v>0.29859999999999998</v>
      </c>
      <c r="H12" s="24">
        <v>22.3</v>
      </c>
      <c r="L12" s="1">
        <v>0.55000000000000004</v>
      </c>
      <c r="M12" s="1">
        <v>1</v>
      </c>
      <c r="S12" s="1">
        <v>-7.7</v>
      </c>
      <c r="X12" s="1">
        <v>23.89863699095222</v>
      </c>
      <c r="Y12" s="1">
        <v>17.160756079999999</v>
      </c>
      <c r="Z12" s="1">
        <v>21.882700022595291</v>
      </c>
      <c r="AA12" s="1">
        <v>-2.6327451740597092</v>
      </c>
      <c r="AB12" s="1">
        <v>95.810274019462938</v>
      </c>
      <c r="AC12" s="1">
        <v>21.08994813182872</v>
      </c>
      <c r="AD12" s="1">
        <v>19.8</v>
      </c>
      <c r="AE12" s="1">
        <v>-1.882241358778991</v>
      </c>
      <c r="AF12" s="1">
        <v>0.22482683625911279</v>
      </c>
      <c r="AG12" s="1">
        <v>0</v>
      </c>
      <c r="AH12" s="1">
        <v>-0.44918307941770841</v>
      </c>
      <c r="AI12" s="1">
        <v>3.3976772335981549</v>
      </c>
      <c r="AJ12" s="1">
        <v>0</v>
      </c>
      <c r="AK12" s="1">
        <v>25.283241065897641</v>
      </c>
      <c r="AL12" s="1">
        <v>19.8</v>
      </c>
      <c r="AM12" s="1">
        <v>0.2640824921877224</v>
      </c>
      <c r="AN12" s="1">
        <v>2.4276484581562938</v>
      </c>
      <c r="AO12" s="1">
        <v>0</v>
      </c>
      <c r="AP12" s="1">
        <v>-0.53731543717801966</v>
      </c>
      <c r="AQ12" s="1">
        <v>3.3295055365104549</v>
      </c>
    </row>
    <row r="13" spans="1:43" ht="13" customHeight="1">
      <c r="C13" s="24">
        <v>22</v>
      </c>
      <c r="D13" s="24">
        <v>49.8</v>
      </c>
      <c r="E13" s="1">
        <v>0.39090000000000003</v>
      </c>
      <c r="H13" s="24">
        <v>22.3</v>
      </c>
      <c r="L13" s="1">
        <v>0.55000000000000004</v>
      </c>
      <c r="M13" s="1">
        <v>1</v>
      </c>
      <c r="S13" s="1">
        <v>-7.1</v>
      </c>
      <c r="X13" s="1">
        <v>23.771176196870659</v>
      </c>
      <c r="Y13" s="1">
        <v>17.145312520000001</v>
      </c>
      <c r="Z13" s="1">
        <v>21.798202744646311</v>
      </c>
      <c r="AA13" s="1">
        <v>-2.6295217403314761</v>
      </c>
      <c r="AB13" s="1">
        <v>95.761513257398065</v>
      </c>
      <c r="AC13" s="1">
        <v>20.53910075706909</v>
      </c>
      <c r="AD13" s="1">
        <v>19.8</v>
      </c>
      <c r="AE13" s="1">
        <v>-2.4620790881608872</v>
      </c>
      <c r="AF13" s="1">
        <v>0.40062468173246368</v>
      </c>
      <c r="AG13" s="1">
        <v>0</v>
      </c>
      <c r="AH13" s="1">
        <v>-0.55533962261912251</v>
      </c>
      <c r="AI13" s="1">
        <v>3.357300809132064</v>
      </c>
      <c r="AJ13" s="1">
        <v>0</v>
      </c>
      <c r="AK13" s="1">
        <v>24.849468019957961</v>
      </c>
      <c r="AL13" s="1">
        <v>19.8</v>
      </c>
      <c r="AM13" s="1">
        <v>-0.1215192608542587</v>
      </c>
      <c r="AN13" s="1">
        <v>2.4764808420803299</v>
      </c>
      <c r="AO13" s="1">
        <v>0</v>
      </c>
      <c r="AP13" s="1">
        <v>-0.59900625256777162</v>
      </c>
      <c r="AQ13" s="1">
        <v>3.2943572016778262</v>
      </c>
    </row>
    <row r="14" spans="1:43" ht="13" customHeight="1">
      <c r="C14" s="24">
        <v>22</v>
      </c>
      <c r="D14" s="24">
        <v>49.9</v>
      </c>
      <c r="E14" s="1">
        <v>0.2989</v>
      </c>
      <c r="H14" s="24">
        <v>22.4</v>
      </c>
      <c r="L14" s="1">
        <v>0.55000000000000004</v>
      </c>
      <c r="M14" s="1">
        <v>1</v>
      </c>
      <c r="S14" s="1">
        <v>-8.8000000000000007</v>
      </c>
      <c r="X14" s="1">
        <v>23.898171917822289</v>
      </c>
      <c r="Y14" s="1">
        <v>17.16073892</v>
      </c>
      <c r="Z14" s="1">
        <v>21.913707293295278</v>
      </c>
      <c r="AA14" s="1">
        <v>-2.6272904812924329</v>
      </c>
      <c r="AB14" s="1">
        <v>95.727512804015007</v>
      </c>
      <c r="AC14" s="1">
        <v>21.158916313366941</v>
      </c>
      <c r="AD14" s="1">
        <v>19.8</v>
      </c>
      <c r="AE14" s="1">
        <v>-1.8899854278935331</v>
      </c>
      <c r="AF14" s="1">
        <v>0.27763017716169958</v>
      </c>
      <c r="AG14" s="1">
        <v>0</v>
      </c>
      <c r="AH14" s="1">
        <v>-0.45293172619431438</v>
      </c>
      <c r="AI14" s="1">
        <v>3.425304687321173</v>
      </c>
      <c r="AJ14" s="1">
        <v>0</v>
      </c>
      <c r="AK14" s="1">
        <v>25.33607300276174</v>
      </c>
      <c r="AL14" s="1">
        <v>19.8</v>
      </c>
      <c r="AM14" s="1">
        <v>0.2640555160891021</v>
      </c>
      <c r="AN14" s="1">
        <v>2.46505917875951</v>
      </c>
      <c r="AO14" s="1">
        <v>0</v>
      </c>
      <c r="AP14" s="1">
        <v>-0.5398161625689607</v>
      </c>
      <c r="AQ14" s="1">
        <v>3.3474365072792871</v>
      </c>
    </row>
    <row r="15" spans="1:43" ht="13" customHeight="1">
      <c r="C15" s="24">
        <v>22</v>
      </c>
      <c r="D15" s="24">
        <v>49.9</v>
      </c>
      <c r="E15" s="1">
        <v>0.36890000000000001</v>
      </c>
      <c r="H15" s="24">
        <v>22.3</v>
      </c>
      <c r="L15" s="1">
        <v>0.55000000000000004</v>
      </c>
      <c r="M15" s="1">
        <v>1</v>
      </c>
      <c r="S15" s="1">
        <v>-8.8000000000000007</v>
      </c>
      <c r="X15" s="1">
        <v>23.799053638467651</v>
      </c>
      <c r="Y15" s="1">
        <v>17.156734920000002</v>
      </c>
      <c r="Z15" s="1">
        <v>21.82462477026899</v>
      </c>
      <c r="AA15" s="1">
        <v>-2.6399336736239229</v>
      </c>
      <c r="AB15" s="1">
        <v>95.917496459236929</v>
      </c>
      <c r="AC15" s="1">
        <v>20.690632326603971</v>
      </c>
      <c r="AD15" s="1">
        <v>19.8</v>
      </c>
      <c r="AE15" s="1">
        <v>-2.3398176410150331</v>
      </c>
      <c r="AF15" s="1">
        <v>0.36290958040531468</v>
      </c>
      <c r="AG15" s="1">
        <v>0</v>
      </c>
      <c r="AH15" s="1">
        <v>-0.53346784553903115</v>
      </c>
      <c r="AI15" s="1">
        <v>3.402340504752579</v>
      </c>
      <c r="AJ15" s="1">
        <v>0</v>
      </c>
      <c r="AK15" s="1">
        <v>24.968366727797719</v>
      </c>
      <c r="AL15" s="1">
        <v>19.8</v>
      </c>
      <c r="AM15" s="1">
        <v>-3.8064275266826597E-2</v>
      </c>
      <c r="AN15" s="1">
        <v>2.4692973456947751</v>
      </c>
      <c r="AO15" s="1">
        <v>0</v>
      </c>
      <c r="AP15" s="1">
        <v>-0.58641681308530957</v>
      </c>
      <c r="AQ15" s="1">
        <v>3.324350785176839</v>
      </c>
    </row>
    <row r="16" spans="1:43" ht="13" customHeight="1">
      <c r="C16" s="24">
        <v>22</v>
      </c>
      <c r="D16" s="24">
        <v>49.9</v>
      </c>
      <c r="E16" s="1">
        <v>0.34129999999999999</v>
      </c>
      <c r="H16" s="24">
        <v>22.3</v>
      </c>
      <c r="L16" s="1">
        <v>0.55000000000000004</v>
      </c>
      <c r="M16" s="1">
        <v>1</v>
      </c>
      <c r="S16" s="1">
        <v>-7.1</v>
      </c>
      <c r="X16" s="1">
        <v>23.836074131485478</v>
      </c>
      <c r="Y16" s="1">
        <v>17.158313639999999</v>
      </c>
      <c r="Z16" s="1">
        <v>21.849166040620801</v>
      </c>
      <c r="AA16" s="1">
        <v>-2.628824174297411</v>
      </c>
      <c r="AB16" s="1">
        <v>95.750905445890552</v>
      </c>
      <c r="AC16" s="1">
        <v>20.811754262882459</v>
      </c>
      <c r="AD16" s="1">
        <v>19.8</v>
      </c>
      <c r="AE16" s="1">
        <v>-2.1677292697971771</v>
      </c>
      <c r="AF16" s="1">
        <v>0.31167305136789342</v>
      </c>
      <c r="AG16" s="1">
        <v>0</v>
      </c>
      <c r="AH16" s="1">
        <v>-0.50151066395352406</v>
      </c>
      <c r="AI16" s="1">
        <v>3.370590829046002</v>
      </c>
      <c r="AJ16" s="1">
        <v>0</v>
      </c>
      <c r="AK16" s="1">
        <v>25.063727957670299</v>
      </c>
      <c r="AL16" s="1">
        <v>19.8</v>
      </c>
      <c r="AM16" s="1">
        <v>7.3561213001901007E-2</v>
      </c>
      <c r="AN16" s="1">
        <v>2.4509326978534389</v>
      </c>
      <c r="AO16" s="1">
        <v>0</v>
      </c>
      <c r="AP16" s="1">
        <v>-0.5676923383777287</v>
      </c>
      <c r="AQ16" s="1">
        <v>3.307689208304466</v>
      </c>
    </row>
    <row r="17" spans="3:43" ht="13" customHeight="1">
      <c r="C17" s="24">
        <v>21.9</v>
      </c>
      <c r="D17" s="24">
        <v>49.8</v>
      </c>
      <c r="E17" s="1">
        <v>0.42349999999999999</v>
      </c>
      <c r="H17" s="24">
        <v>22.3</v>
      </c>
      <c r="L17" s="1">
        <v>0.55000000000000004</v>
      </c>
      <c r="M17" s="1">
        <v>1</v>
      </c>
      <c r="S17" s="1">
        <v>-7.1</v>
      </c>
      <c r="X17" s="1">
        <v>23.624199993974461</v>
      </c>
      <c r="Y17" s="1">
        <v>17.0554062</v>
      </c>
      <c r="Z17" s="1">
        <v>21.695412091948651</v>
      </c>
      <c r="AA17" s="1">
        <v>-2.6625039728822828</v>
      </c>
      <c r="AB17" s="1">
        <v>96.240747444780695</v>
      </c>
      <c r="AC17" s="1">
        <v>20.316833841862071</v>
      </c>
      <c r="AD17" s="1">
        <v>19.71</v>
      </c>
      <c r="AE17" s="1">
        <v>-2.6565396591060928</v>
      </c>
      <c r="AF17" s="1">
        <v>0.50522434175237685</v>
      </c>
      <c r="AG17" s="1">
        <v>0</v>
      </c>
      <c r="AH17" s="1">
        <v>-0.58701971372542971</v>
      </c>
      <c r="AI17" s="1">
        <v>3.3466829477780311</v>
      </c>
      <c r="AJ17" s="1">
        <v>0</v>
      </c>
      <c r="AK17" s="1">
        <v>24.675701632119171</v>
      </c>
      <c r="AL17" s="1">
        <v>19.71</v>
      </c>
      <c r="AM17" s="1">
        <v>-0.23928697550776129</v>
      </c>
      <c r="AN17" s="1">
        <v>2.5394223629166688</v>
      </c>
      <c r="AO17" s="1">
        <v>0</v>
      </c>
      <c r="AP17" s="1">
        <v>-0.61722867442096485</v>
      </c>
      <c r="AQ17" s="1">
        <v>3.28370412636388</v>
      </c>
    </row>
    <row r="18" spans="3:43" ht="13" customHeight="1">
      <c r="C18" s="24">
        <v>22</v>
      </c>
      <c r="D18" s="24">
        <v>49.8</v>
      </c>
      <c r="E18" s="1">
        <v>0.36220000000000002</v>
      </c>
      <c r="H18" s="24">
        <v>22.3</v>
      </c>
      <c r="L18" s="1">
        <v>0.55000000000000004</v>
      </c>
      <c r="M18" s="1">
        <v>1</v>
      </c>
      <c r="S18" s="1">
        <v>-8.1999999999999993</v>
      </c>
      <c r="X18" s="1">
        <v>23.807820971620622</v>
      </c>
      <c r="Y18" s="1">
        <v>17.14695416</v>
      </c>
      <c r="Z18" s="1">
        <v>21.825470000899831</v>
      </c>
      <c r="AA18" s="1">
        <v>-2.636710239895689</v>
      </c>
      <c r="AB18" s="1">
        <v>95.869674555525165</v>
      </c>
      <c r="AC18" s="1">
        <v>20.713926084195592</v>
      </c>
      <c r="AD18" s="1">
        <v>19.8</v>
      </c>
      <c r="AE18" s="1">
        <v>-2.2984954580154349</v>
      </c>
      <c r="AF18" s="1">
        <v>0.35074398211830832</v>
      </c>
      <c r="AG18" s="1">
        <v>0</v>
      </c>
      <c r="AH18" s="1">
        <v>-0.52716192034971887</v>
      </c>
      <c r="AI18" s="1">
        <v>3.3901595402759002</v>
      </c>
      <c r="AJ18" s="1">
        <v>0</v>
      </c>
      <c r="AK18" s="1">
        <v>24.986631269683539</v>
      </c>
      <c r="AL18" s="1">
        <v>19.8</v>
      </c>
      <c r="AM18" s="1">
        <v>-1.1672380034753181E-2</v>
      </c>
      <c r="AN18" s="1">
        <v>2.4643219790166411</v>
      </c>
      <c r="AO18" s="1">
        <v>0</v>
      </c>
      <c r="AP18" s="1">
        <v>-0.58271819174737649</v>
      </c>
      <c r="AQ18" s="1">
        <v>3.3174928653905682</v>
      </c>
    </row>
    <row r="19" spans="3:43" ht="13" customHeight="1">
      <c r="C19" s="24">
        <v>22</v>
      </c>
      <c r="D19" s="24">
        <v>49.8</v>
      </c>
      <c r="E19" s="1">
        <v>0.33700000000000002</v>
      </c>
      <c r="H19" s="24">
        <v>22.3</v>
      </c>
      <c r="L19" s="1">
        <v>0.55000000000000004</v>
      </c>
      <c r="M19" s="1">
        <v>1</v>
      </c>
      <c r="S19" s="1">
        <v>-7.7</v>
      </c>
      <c r="X19" s="1">
        <v>23.842066554107859</v>
      </c>
      <c r="Y19" s="1">
        <v>17.148395600000001</v>
      </c>
      <c r="Z19" s="1">
        <v>21.847464646971599</v>
      </c>
      <c r="AA19" s="1">
        <v>-2.6334427400937739</v>
      </c>
      <c r="AB19" s="1">
        <v>95.8207704402285</v>
      </c>
      <c r="AC19" s="1">
        <v>20.847915732795741</v>
      </c>
      <c r="AD19" s="1">
        <v>19.8</v>
      </c>
      <c r="AE19" s="1">
        <v>-2.1414207326172332</v>
      </c>
      <c r="AF19" s="1">
        <v>0.30346807824861188</v>
      </c>
      <c r="AG19" s="1">
        <v>0</v>
      </c>
      <c r="AH19" s="1">
        <v>-0.49852401959381137</v>
      </c>
      <c r="AI19" s="1">
        <v>3.3856449316366151</v>
      </c>
      <c r="AJ19" s="1">
        <v>0</v>
      </c>
      <c r="AK19" s="1">
        <v>25.09209848027977</v>
      </c>
      <c r="AL19" s="1">
        <v>19.8</v>
      </c>
      <c r="AM19" s="1">
        <v>9.175563945674084E-2</v>
      </c>
      <c r="AN19" s="1">
        <v>2.4496876741263161</v>
      </c>
      <c r="AO19" s="1">
        <v>0</v>
      </c>
      <c r="AP19" s="1">
        <v>-0.56602492974005403</v>
      </c>
      <c r="AQ19" s="1">
        <v>3.3174326323239751</v>
      </c>
    </row>
    <row r="20" spans="3:43" ht="13" customHeight="1">
      <c r="C20" s="24">
        <v>22</v>
      </c>
      <c r="D20" s="24">
        <v>49.8</v>
      </c>
      <c r="E20" s="1">
        <v>0.34739999999999999</v>
      </c>
      <c r="H20" s="24">
        <v>22.3</v>
      </c>
      <c r="L20" s="1">
        <v>0.55000000000000004</v>
      </c>
      <c r="M20" s="1">
        <v>1</v>
      </c>
      <c r="S20" s="1">
        <v>-8.1999999999999993</v>
      </c>
      <c r="X20" s="1">
        <v>23.827681132862718</v>
      </c>
      <c r="Y20" s="1">
        <v>17.147800719999999</v>
      </c>
      <c r="Z20" s="1">
        <v>21.838611730870049</v>
      </c>
      <c r="AA20" s="1">
        <v>-2.636710239895689</v>
      </c>
      <c r="AB20" s="1">
        <v>95.869674555525165</v>
      </c>
      <c r="AC20" s="1">
        <v>20.797351088487101</v>
      </c>
      <c r="AD20" s="1">
        <v>19.8</v>
      </c>
      <c r="AE20" s="1">
        <v>-2.208083999980671</v>
      </c>
      <c r="AF20" s="1">
        <v>0.32340801308089112</v>
      </c>
      <c r="AG20" s="1">
        <v>0</v>
      </c>
      <c r="AH20" s="1">
        <v>-0.51093501011754472</v>
      </c>
      <c r="AI20" s="1">
        <v>3.394240454303997</v>
      </c>
      <c r="AJ20" s="1">
        <v>0</v>
      </c>
      <c r="AK20" s="1">
        <v>25.0522547177594</v>
      </c>
      <c r="AL20" s="1">
        <v>19.8</v>
      </c>
      <c r="AM20" s="1">
        <v>4.8256679269308107E-2</v>
      </c>
      <c r="AN20" s="1">
        <v>2.4564617708162628</v>
      </c>
      <c r="AO20" s="1">
        <v>0</v>
      </c>
      <c r="AP20" s="1">
        <v>-0.57328438467685738</v>
      </c>
      <c r="AQ20" s="1">
        <v>3.3215886729793831</v>
      </c>
    </row>
    <row r="21" spans="3:43" ht="13" customHeight="1">
      <c r="C21" s="24">
        <v>22</v>
      </c>
      <c r="D21" s="24">
        <v>49.8</v>
      </c>
      <c r="E21" s="1">
        <v>0.33739999999999998</v>
      </c>
      <c r="H21" s="24">
        <v>22.3</v>
      </c>
      <c r="L21" s="1">
        <v>0.55000000000000004</v>
      </c>
      <c r="M21" s="1">
        <v>1</v>
      </c>
      <c r="S21" s="1">
        <v>-8.8000000000000007</v>
      </c>
      <c r="X21" s="1">
        <v>23.84150641862016</v>
      </c>
      <c r="Y21" s="1">
        <v>17.148372720000001</v>
      </c>
      <c r="Z21" s="1">
        <v>21.84713003089821</v>
      </c>
      <c r="AA21" s="1">
        <v>-2.6406312396579881</v>
      </c>
      <c r="AB21" s="1">
        <v>95.927790277461327</v>
      </c>
      <c r="AC21" s="1">
        <v>20.867843943906621</v>
      </c>
      <c r="AD21" s="1">
        <v>19.8</v>
      </c>
      <c r="AE21" s="1">
        <v>-2.1462014971497232</v>
      </c>
      <c r="AF21" s="1">
        <v>0.30439629605412311</v>
      </c>
      <c r="AG21" s="1">
        <v>0</v>
      </c>
      <c r="AH21" s="1">
        <v>-0.50010958918172188</v>
      </c>
      <c r="AI21" s="1">
        <v>3.4110025759076761</v>
      </c>
      <c r="AJ21" s="1">
        <v>0</v>
      </c>
      <c r="AK21" s="1">
        <v>25.107746772569371</v>
      </c>
      <c r="AL21" s="1">
        <v>19.8</v>
      </c>
      <c r="AM21" s="1">
        <v>9.0175075229791818E-2</v>
      </c>
      <c r="AN21" s="1">
        <v>2.4523147711526581</v>
      </c>
      <c r="AO21" s="1">
        <v>0</v>
      </c>
      <c r="AP21" s="1">
        <v>-0.56704269608337399</v>
      </c>
      <c r="AQ21" s="1">
        <v>3.3330469460992029</v>
      </c>
    </row>
    <row r="22" spans="3:43" ht="13" customHeight="1">
      <c r="C22" s="24">
        <v>22</v>
      </c>
      <c r="D22" s="24">
        <v>49.8</v>
      </c>
      <c r="E22" s="1">
        <v>0.36899999999999999</v>
      </c>
      <c r="H22" s="24">
        <v>22.3</v>
      </c>
      <c r="L22" s="1">
        <v>0.55000000000000004</v>
      </c>
      <c r="M22" s="1">
        <v>1</v>
      </c>
      <c r="S22" s="1">
        <v>-9.3000000000000007</v>
      </c>
      <c r="X22" s="1">
        <v>23.798923799246111</v>
      </c>
      <c r="Y22" s="1">
        <v>17.146565200000001</v>
      </c>
      <c r="Z22" s="1">
        <v>21.819220438134622</v>
      </c>
      <c r="AA22" s="1">
        <v>-2.6438987394599032</v>
      </c>
      <c r="AB22" s="1">
        <v>95.975748086971294</v>
      </c>
      <c r="AC22" s="1">
        <v>20.69884637074901</v>
      </c>
      <c r="AD22" s="1">
        <v>19.8</v>
      </c>
      <c r="AE22" s="1">
        <v>-2.3413057957672021</v>
      </c>
      <c r="AF22" s="1">
        <v>0.36316843008434202</v>
      </c>
      <c r="AG22" s="1">
        <v>0</v>
      </c>
      <c r="AH22" s="1">
        <v>-0.53548972433903153</v>
      </c>
      <c r="AI22" s="1">
        <v>3.413802425241482</v>
      </c>
      <c r="AJ22" s="1">
        <v>0</v>
      </c>
      <c r="AK22" s="1">
        <v>24.974717816558702</v>
      </c>
      <c r="AL22" s="1">
        <v>19.8</v>
      </c>
      <c r="AM22" s="1">
        <v>-3.8461617272318012E-2</v>
      </c>
      <c r="AN22" s="1">
        <v>2.470248454549262</v>
      </c>
      <c r="AO22" s="1">
        <v>0</v>
      </c>
      <c r="AP22" s="1">
        <v>-0.58765271939945718</v>
      </c>
      <c r="AQ22" s="1">
        <v>3.331382028677635</v>
      </c>
    </row>
    <row r="23" spans="3:43" ht="13" customHeight="1">
      <c r="C23" s="24">
        <v>22</v>
      </c>
      <c r="D23" s="24">
        <v>49.8</v>
      </c>
      <c r="E23" s="1">
        <v>0.44280000000000003</v>
      </c>
      <c r="H23" s="24">
        <v>22.4</v>
      </c>
      <c r="L23" s="1">
        <v>0.55000000000000004</v>
      </c>
      <c r="M23" s="1">
        <v>1</v>
      </c>
      <c r="S23" s="1">
        <v>-8.8000000000000007</v>
      </c>
      <c r="X23" s="1">
        <v>23.71029583970255</v>
      </c>
      <c r="Y23" s="1">
        <v>17.142343839999999</v>
      </c>
      <c r="Z23" s="1">
        <v>21.774184024809959</v>
      </c>
      <c r="AA23" s="1">
        <v>-2.6279880473264989</v>
      </c>
      <c r="AB23" s="1">
        <v>95.738164353751287</v>
      </c>
      <c r="AC23" s="1">
        <v>20.36772066092928</v>
      </c>
      <c r="AD23" s="1">
        <v>19.8</v>
      </c>
      <c r="AE23" s="1">
        <v>-2.7443484763153081</v>
      </c>
      <c r="AF23" s="1">
        <v>0.53331333837382022</v>
      </c>
      <c r="AG23" s="1">
        <v>0</v>
      </c>
      <c r="AH23" s="1">
        <v>-0.60628629032698311</v>
      </c>
      <c r="AI23" s="1">
        <v>3.3865402617845208</v>
      </c>
      <c r="AJ23" s="1">
        <v>0</v>
      </c>
      <c r="AK23" s="1">
        <v>24.71339970354239</v>
      </c>
      <c r="AL23" s="1">
        <v>19.8</v>
      </c>
      <c r="AM23" s="1">
        <v>-0.30261421969353353</v>
      </c>
      <c r="AN23" s="1">
        <v>2.53734950204367</v>
      </c>
      <c r="AO23" s="1">
        <v>0</v>
      </c>
      <c r="AP23" s="1">
        <v>-0.62895609436899236</v>
      </c>
      <c r="AQ23" s="1">
        <v>3.3085203500304821</v>
      </c>
    </row>
    <row r="24" spans="3:43" ht="13" customHeight="1">
      <c r="C24" s="24">
        <v>22.1</v>
      </c>
      <c r="D24" s="24">
        <v>49.8</v>
      </c>
      <c r="E24" s="1">
        <v>0.39839999999999998</v>
      </c>
      <c r="H24" s="24">
        <v>22.4</v>
      </c>
      <c r="L24" s="1">
        <v>0.55000000000000004</v>
      </c>
      <c r="M24" s="1">
        <v>1</v>
      </c>
      <c r="S24" s="1">
        <v>-8.8000000000000007</v>
      </c>
      <c r="X24" s="1">
        <v>23.869525987169482</v>
      </c>
      <c r="Y24" s="1">
        <v>17.232925120000001</v>
      </c>
      <c r="Z24" s="1">
        <v>21.89072600624068</v>
      </c>
      <c r="AA24" s="1">
        <v>-2.5949947341886972</v>
      </c>
      <c r="AB24" s="1">
        <v>95.212237791048196</v>
      </c>
      <c r="AC24" s="1">
        <v>20.64132720803002</v>
      </c>
      <c r="AD24" s="1">
        <v>19.89</v>
      </c>
      <c r="AE24" s="1">
        <v>-2.4939575316387961</v>
      </c>
      <c r="AF24" s="1">
        <v>0.41212507531041631</v>
      </c>
      <c r="AG24" s="1">
        <v>0</v>
      </c>
      <c r="AH24" s="1">
        <v>-0.56518154861025538</v>
      </c>
      <c r="AI24" s="1">
        <v>3.3997044781853978</v>
      </c>
      <c r="AJ24" s="1">
        <v>0</v>
      </c>
      <c r="AK24" s="1">
        <v>24.927729246287079</v>
      </c>
      <c r="AL24" s="1">
        <v>19.89</v>
      </c>
      <c r="AM24" s="1">
        <v>-0.1477318565027641</v>
      </c>
      <c r="AN24" s="1">
        <v>2.4698162454423702</v>
      </c>
      <c r="AO24" s="1">
        <v>0</v>
      </c>
      <c r="AP24" s="1">
        <v>-0.60527429435494995</v>
      </c>
      <c r="AQ24" s="1">
        <v>3.3217381827122008</v>
      </c>
    </row>
    <row r="25" spans="3:43" ht="13" customHeight="1">
      <c r="C25" s="24">
        <v>22</v>
      </c>
      <c r="D25" s="24">
        <v>49.8</v>
      </c>
      <c r="E25" s="1">
        <v>0.38840000000000002</v>
      </c>
      <c r="H25" s="24">
        <v>22.4</v>
      </c>
      <c r="L25" s="1">
        <v>0.55000000000000004</v>
      </c>
      <c r="M25" s="1">
        <v>1</v>
      </c>
      <c r="S25" s="1">
        <v>-8.8000000000000007</v>
      </c>
      <c r="X25" s="1">
        <v>23.77427670619354</v>
      </c>
      <c r="Y25" s="1">
        <v>17.145455519999999</v>
      </c>
      <c r="Z25" s="1">
        <v>21.83178977720981</v>
      </c>
      <c r="AA25" s="1">
        <v>-2.6279880473264989</v>
      </c>
      <c r="AB25" s="1">
        <v>95.738164353751287</v>
      </c>
      <c r="AC25" s="1">
        <v>20.632191989229518</v>
      </c>
      <c r="AD25" s="1">
        <v>19.8</v>
      </c>
      <c r="AE25" s="1">
        <v>-2.4562552476344979</v>
      </c>
      <c r="AF25" s="1">
        <v>0.4474428610575048</v>
      </c>
      <c r="AG25" s="1">
        <v>0</v>
      </c>
      <c r="AH25" s="1">
        <v>-0.55689531214846222</v>
      </c>
      <c r="AI25" s="1">
        <v>3.3992651493830519</v>
      </c>
      <c r="AJ25" s="1">
        <v>0</v>
      </c>
      <c r="AK25" s="1">
        <v>24.920611790565761</v>
      </c>
      <c r="AL25" s="1">
        <v>19.8</v>
      </c>
      <c r="AM25" s="1">
        <v>-0.1121073412712435</v>
      </c>
      <c r="AN25" s="1">
        <v>2.5125047372650262</v>
      </c>
      <c r="AO25" s="1">
        <v>0</v>
      </c>
      <c r="AP25" s="1">
        <v>-0.60026106755696795</v>
      </c>
      <c r="AQ25" s="1">
        <v>3.321295799763659</v>
      </c>
    </row>
    <row r="26" spans="3:43" ht="13" customHeight="1">
      <c r="C26" s="24">
        <v>22</v>
      </c>
      <c r="D26" s="24">
        <v>49.8</v>
      </c>
      <c r="E26" s="1">
        <v>0.27839999999999998</v>
      </c>
      <c r="H26" s="24">
        <v>22.3</v>
      </c>
      <c r="L26" s="1">
        <v>0.55000000000000004</v>
      </c>
      <c r="M26" s="1">
        <v>1</v>
      </c>
      <c r="S26" s="1">
        <v>-9.3000000000000007</v>
      </c>
      <c r="X26" s="1">
        <v>23.930894043364109</v>
      </c>
      <c r="Y26" s="1">
        <v>17.151747520000001</v>
      </c>
      <c r="Z26" s="1">
        <v>21.89127324708064</v>
      </c>
      <c r="AA26" s="1">
        <v>-2.6438987394599032</v>
      </c>
      <c r="AB26" s="1">
        <v>95.975748086971294</v>
      </c>
      <c r="AC26" s="1">
        <v>21.260338101377751</v>
      </c>
      <c r="AD26" s="1">
        <v>19.8</v>
      </c>
      <c r="AE26" s="1">
        <v>-1.736091855893557</v>
      </c>
      <c r="AF26" s="1">
        <v>0.1796364560844024</v>
      </c>
      <c r="AG26" s="1">
        <v>0</v>
      </c>
      <c r="AH26" s="1">
        <v>-0.42384060269708679</v>
      </c>
      <c r="AI26" s="1">
        <v>3.441682257673484</v>
      </c>
      <c r="AJ26" s="1">
        <v>0</v>
      </c>
      <c r="AK26" s="1">
        <v>25.41808722327524</v>
      </c>
      <c r="AL26" s="1">
        <v>19.8</v>
      </c>
      <c r="AM26" s="1">
        <v>0.36366013484860199</v>
      </c>
      <c r="AN26" s="1">
        <v>2.4184216940970589</v>
      </c>
      <c r="AO26" s="1">
        <v>0</v>
      </c>
      <c r="AP26" s="1">
        <v>-0.52274060689445401</v>
      </c>
      <c r="AQ26" s="1">
        <v>3.3593759921244608</v>
      </c>
    </row>
    <row r="27" spans="3:43" ht="13" customHeight="1">
      <c r="C27" s="24">
        <v>22</v>
      </c>
      <c r="D27" s="24">
        <v>49.8</v>
      </c>
      <c r="E27" s="1">
        <v>0.31890000000000002</v>
      </c>
      <c r="H27" s="24">
        <v>22.3</v>
      </c>
      <c r="L27" s="1">
        <v>0.55000000000000004</v>
      </c>
      <c r="M27" s="1">
        <v>1</v>
      </c>
      <c r="S27" s="1">
        <v>-8.8000000000000007</v>
      </c>
      <c r="X27" s="1">
        <v>23.86801695050308</v>
      </c>
      <c r="Y27" s="1">
        <v>17.14943092</v>
      </c>
      <c r="Z27" s="1">
        <v>21.862108579165881</v>
      </c>
      <c r="AA27" s="1">
        <v>-2.6406312396579881</v>
      </c>
      <c r="AB27" s="1">
        <v>95.927790277461327</v>
      </c>
      <c r="AC27" s="1">
        <v>20.980328592373411</v>
      </c>
      <c r="AD27" s="1">
        <v>19.8</v>
      </c>
      <c r="AE27" s="1">
        <v>-2.0248104437055372</v>
      </c>
      <c r="AF27" s="1">
        <v>0.26761070928912478</v>
      </c>
      <c r="AG27" s="1">
        <v>0</v>
      </c>
      <c r="AH27" s="1">
        <v>-0.47785070515474443</v>
      </c>
      <c r="AI27" s="1">
        <v>3.4165666540212669</v>
      </c>
      <c r="AJ27" s="1">
        <v>0</v>
      </c>
      <c r="AK27" s="1">
        <v>25.196479693112941</v>
      </c>
      <c r="AL27" s="1">
        <v>19.8</v>
      </c>
      <c r="AM27" s="1">
        <v>0.17078304784292159</v>
      </c>
      <c r="AN27" s="1">
        <v>2.4418786580339198</v>
      </c>
      <c r="AO27" s="1">
        <v>0</v>
      </c>
      <c r="AP27" s="1">
        <v>-0.55410102224935309</v>
      </c>
      <c r="AQ27" s="1">
        <v>3.3386326344463959</v>
      </c>
    </row>
    <row r="28" spans="3:43" ht="13" customHeight="1">
      <c r="C28" s="24">
        <v>22</v>
      </c>
      <c r="D28" s="24">
        <v>49.8</v>
      </c>
      <c r="E28" s="1">
        <v>0.39300000000000002</v>
      </c>
      <c r="H28" s="24">
        <v>22.3</v>
      </c>
      <c r="L28" s="1">
        <v>0.55000000000000004</v>
      </c>
      <c r="M28" s="1">
        <v>1</v>
      </c>
      <c r="S28" s="1">
        <v>-7.1</v>
      </c>
      <c r="X28" s="1">
        <v>23.768584614905262</v>
      </c>
      <c r="Y28" s="1">
        <v>17.145192399999999</v>
      </c>
      <c r="Z28" s="1">
        <v>21.796116766645671</v>
      </c>
      <c r="AA28" s="1">
        <v>-2.6295217403314761</v>
      </c>
      <c r="AB28" s="1">
        <v>95.761513257398065</v>
      </c>
      <c r="AC28" s="1">
        <v>20.528364026750712</v>
      </c>
      <c r="AD28" s="1">
        <v>19.8</v>
      </c>
      <c r="AE28" s="1">
        <v>-2.473776999542173</v>
      </c>
      <c r="AF28" s="1">
        <v>0.40415135435798122</v>
      </c>
      <c r="AG28" s="1">
        <v>0</v>
      </c>
      <c r="AH28" s="1">
        <v>-0.55738202519827562</v>
      </c>
      <c r="AI28" s="1">
        <v>3.3567830860808092</v>
      </c>
      <c r="AJ28" s="1">
        <v>0</v>
      </c>
      <c r="AK28" s="1">
        <v>24.841053160326329</v>
      </c>
      <c r="AL28" s="1">
        <v>19.8</v>
      </c>
      <c r="AM28" s="1">
        <v>-0.12925557853373021</v>
      </c>
      <c r="AN28" s="1">
        <v>2.477512144737509</v>
      </c>
      <c r="AO28" s="1">
        <v>0</v>
      </c>
      <c r="AP28" s="1">
        <v>-0.60019350633214563</v>
      </c>
      <c r="AQ28" s="1">
        <v>3.293837824919192</v>
      </c>
    </row>
    <row r="29" spans="3:43" ht="13" customHeight="1">
      <c r="C29" s="24">
        <v>22</v>
      </c>
      <c r="D29" s="24">
        <v>49.8</v>
      </c>
      <c r="E29" s="1">
        <v>0.41849999999999998</v>
      </c>
      <c r="H29" s="24">
        <v>22.3</v>
      </c>
      <c r="L29" s="1">
        <v>0.55000000000000004</v>
      </c>
      <c r="M29" s="1">
        <v>1</v>
      </c>
      <c r="S29" s="1">
        <v>-7.1</v>
      </c>
      <c r="X29" s="1">
        <v>23.738009215253541</v>
      </c>
      <c r="Y29" s="1">
        <v>17.1437338</v>
      </c>
      <c r="Z29" s="1">
        <v>21.769819601123299</v>
      </c>
      <c r="AA29" s="1">
        <v>-2.6295217403314761</v>
      </c>
      <c r="AB29" s="1">
        <v>95.761513257398065</v>
      </c>
      <c r="AC29" s="1">
        <v>20.4022851742779</v>
      </c>
      <c r="AD29" s="1">
        <v>19.8</v>
      </c>
      <c r="AE29" s="1">
        <v>-2.6113951643273379</v>
      </c>
      <c r="AF29" s="1">
        <v>0.44560197240849819</v>
      </c>
      <c r="AG29" s="1">
        <v>0</v>
      </c>
      <c r="AH29" s="1">
        <v>-0.58117770281070513</v>
      </c>
      <c r="AI29" s="1">
        <v>3.3507305010183308</v>
      </c>
      <c r="AJ29" s="1">
        <v>0</v>
      </c>
      <c r="AK29" s="1">
        <v>24.742347229874781</v>
      </c>
      <c r="AL29" s="1">
        <v>19.8</v>
      </c>
      <c r="AM29" s="1">
        <v>-0.2202036471077414</v>
      </c>
      <c r="AN29" s="1">
        <v>2.489695175158821</v>
      </c>
      <c r="AO29" s="1">
        <v>0</v>
      </c>
      <c r="AP29" s="1">
        <v>-0.61402465548944296</v>
      </c>
      <c r="AQ29" s="1">
        <v>3.2877658384191011</v>
      </c>
    </row>
    <row r="30" spans="3:43" ht="13" customHeight="1">
      <c r="C30" s="24">
        <v>21.9</v>
      </c>
      <c r="D30" s="24">
        <v>49.8</v>
      </c>
      <c r="E30" s="1">
        <v>0.35909999999999997</v>
      </c>
      <c r="H30" s="24">
        <v>22.3</v>
      </c>
      <c r="L30" s="1">
        <v>0.55000000000000004</v>
      </c>
      <c r="M30" s="1">
        <v>1</v>
      </c>
      <c r="S30" s="1">
        <v>-7.1</v>
      </c>
      <c r="X30" s="1">
        <v>23.70511947229215</v>
      </c>
      <c r="Y30" s="1">
        <v>17.059089879999998</v>
      </c>
      <c r="Z30" s="1">
        <v>21.760187263169019</v>
      </c>
      <c r="AA30" s="1">
        <v>-2.6625039728822828</v>
      </c>
      <c r="AB30" s="1">
        <v>96.240747444780695</v>
      </c>
      <c r="AC30" s="1">
        <v>20.650412737767951</v>
      </c>
      <c r="AD30" s="1">
        <v>19.71</v>
      </c>
      <c r="AE30" s="1">
        <v>-2.2938398764529411</v>
      </c>
      <c r="AF30" s="1">
        <v>0.3970667138043843</v>
      </c>
      <c r="AG30" s="1">
        <v>0</v>
      </c>
      <c r="AH30" s="1">
        <v>-0.5241549642042771</v>
      </c>
      <c r="AI30" s="1">
        <v>3.3626890151020281</v>
      </c>
      <c r="AJ30" s="1">
        <v>0</v>
      </c>
      <c r="AK30" s="1">
        <v>24.936832034629361</v>
      </c>
      <c r="AL30" s="1">
        <v>19.71</v>
      </c>
      <c r="AM30" s="1">
        <v>5.0870838564052426E-4</v>
      </c>
      <c r="AN30" s="1">
        <v>2.5080561157244419</v>
      </c>
      <c r="AO30" s="1">
        <v>0</v>
      </c>
      <c r="AP30" s="1">
        <v>-0.58068448072188827</v>
      </c>
      <c r="AQ30" s="1">
        <v>3.2997615240046989</v>
      </c>
    </row>
    <row r="31" spans="3:43" ht="13" customHeight="1">
      <c r="C31" s="24">
        <v>22</v>
      </c>
      <c r="D31" s="24">
        <v>49.7</v>
      </c>
      <c r="E31" s="1">
        <v>0.38040000000000002</v>
      </c>
      <c r="H31" s="24">
        <v>22.3</v>
      </c>
      <c r="L31" s="1">
        <v>0.55000000000000004</v>
      </c>
      <c r="M31" s="1">
        <v>1</v>
      </c>
      <c r="S31" s="1">
        <v>-8.1999999999999993</v>
      </c>
      <c r="X31" s="1">
        <v>23.78431229079137</v>
      </c>
      <c r="Y31" s="1">
        <v>17.13574912</v>
      </c>
      <c r="Z31" s="1">
        <v>21.803147768623418</v>
      </c>
      <c r="AA31" s="1">
        <v>-2.6374078059297541</v>
      </c>
      <c r="AB31" s="1">
        <v>95.880058964490345</v>
      </c>
      <c r="AC31" s="1">
        <v>20.614431367949539</v>
      </c>
      <c r="AD31" s="1">
        <v>19.8</v>
      </c>
      <c r="AE31" s="1">
        <v>-2.4049603630803569</v>
      </c>
      <c r="AF31" s="1">
        <v>0.38293406162904692</v>
      </c>
      <c r="AG31" s="1">
        <v>0</v>
      </c>
      <c r="AH31" s="1">
        <v>-0.54747529822675711</v>
      </c>
      <c r="AI31" s="1">
        <v>3.3853029460437738</v>
      </c>
      <c r="AJ31" s="1">
        <v>0</v>
      </c>
      <c r="AK31" s="1">
        <v>24.90840913074409</v>
      </c>
      <c r="AL31" s="1">
        <v>19.8</v>
      </c>
      <c r="AM31" s="1">
        <v>-8.2299077803231979E-2</v>
      </c>
      <c r="AN31" s="1">
        <v>2.4734573120143271</v>
      </c>
      <c r="AO31" s="1">
        <v>0</v>
      </c>
      <c r="AP31" s="1">
        <v>-0.59454483480774933</v>
      </c>
      <c r="AQ31" s="1">
        <v>3.3126186422922261</v>
      </c>
    </row>
    <row r="32" spans="3:43" ht="13" customHeight="1">
      <c r="C32" s="24">
        <v>22</v>
      </c>
      <c r="D32" s="24">
        <v>49.7</v>
      </c>
      <c r="E32" s="1">
        <v>0.31119999999999998</v>
      </c>
      <c r="H32" s="24">
        <v>22.3</v>
      </c>
      <c r="L32" s="1">
        <v>0.55000000000000004</v>
      </c>
      <c r="M32" s="1">
        <v>1</v>
      </c>
      <c r="S32" s="1">
        <v>-7.7</v>
      </c>
      <c r="X32" s="1">
        <v>23.879433300631469</v>
      </c>
      <c r="Y32" s="1">
        <v>17.139707359999999</v>
      </c>
      <c r="Z32" s="1">
        <v>21.862710219465299</v>
      </c>
      <c r="AA32" s="1">
        <v>-2.634140306127839</v>
      </c>
      <c r="AB32" s="1">
        <v>95.831247108888974</v>
      </c>
      <c r="AC32" s="1">
        <v>21.005297780808569</v>
      </c>
      <c r="AD32" s="1">
        <v>19.8</v>
      </c>
      <c r="AE32" s="1">
        <v>-1.9701755125671061</v>
      </c>
      <c r="AF32" s="1">
        <v>0.25160628550730951</v>
      </c>
      <c r="AG32" s="1">
        <v>0</v>
      </c>
      <c r="AH32" s="1">
        <v>-0.46837095128312978</v>
      </c>
      <c r="AI32" s="1">
        <v>3.3934121191912912</v>
      </c>
      <c r="AJ32" s="1">
        <v>0</v>
      </c>
      <c r="AK32" s="1">
        <v>25.216165462886021</v>
      </c>
      <c r="AL32" s="1">
        <v>19.8</v>
      </c>
      <c r="AM32" s="1">
        <v>0.20535587197758401</v>
      </c>
      <c r="AN32" s="1">
        <v>2.4347958660632658</v>
      </c>
      <c r="AO32" s="1">
        <v>0</v>
      </c>
      <c r="AP32" s="1">
        <v>-0.54850706878354083</v>
      </c>
      <c r="AQ32" s="1">
        <v>3.3252263563053268</v>
      </c>
    </row>
    <row r="33" spans="3:43" ht="13" customHeight="1">
      <c r="C33" s="24">
        <v>22</v>
      </c>
      <c r="D33" s="24">
        <v>49.8</v>
      </c>
      <c r="E33" s="1">
        <v>0.46050000000000002</v>
      </c>
      <c r="H33" s="24">
        <v>22.3</v>
      </c>
      <c r="L33" s="1">
        <v>0.55000000000000004</v>
      </c>
      <c r="M33" s="1">
        <v>1</v>
      </c>
      <c r="S33" s="1">
        <v>-7.1</v>
      </c>
      <c r="X33" s="1">
        <v>23.690903011545391</v>
      </c>
      <c r="Y33" s="1">
        <v>17.141331399999991</v>
      </c>
      <c r="Z33" s="1">
        <v>21.722711406390509</v>
      </c>
      <c r="AA33" s="1">
        <v>-2.6295217403314761</v>
      </c>
      <c r="AB33" s="1">
        <v>95.761513257398065</v>
      </c>
      <c r="AC33" s="1">
        <v>20.21022327729294</v>
      </c>
      <c r="AD33" s="1">
        <v>19.8</v>
      </c>
      <c r="AE33" s="1">
        <v>-2.8219260673915461</v>
      </c>
      <c r="AF33" s="1">
        <v>0.50887874896970753</v>
      </c>
      <c r="AG33" s="1">
        <v>0</v>
      </c>
      <c r="AH33" s="1">
        <v>-0.61676304915996316</v>
      </c>
      <c r="AI33" s="1">
        <v>3.3416042451150778</v>
      </c>
      <c r="AJ33" s="1">
        <v>0</v>
      </c>
      <c r="AK33" s="1">
        <v>24.5923605505998</v>
      </c>
      <c r="AL33" s="1">
        <v>19.8</v>
      </c>
      <c r="AM33" s="1">
        <v>-0.35911152925954809</v>
      </c>
      <c r="AN33" s="1">
        <v>2.5085085052667861</v>
      </c>
      <c r="AO33" s="1">
        <v>0</v>
      </c>
      <c r="AP33" s="1">
        <v>-0.63470345436406561</v>
      </c>
      <c r="AQ33" s="1">
        <v>3.2786100881521079</v>
      </c>
    </row>
    <row r="34" spans="3:43" ht="13" customHeight="1">
      <c r="C34" s="24">
        <v>22</v>
      </c>
      <c r="D34" s="24">
        <v>49.8</v>
      </c>
      <c r="E34" s="1">
        <v>0.4088</v>
      </c>
      <c r="H34" s="24">
        <v>22.3</v>
      </c>
      <c r="L34" s="1">
        <v>0.55000000000000004</v>
      </c>
      <c r="M34" s="1">
        <v>1</v>
      </c>
      <c r="S34" s="1">
        <v>-7.7</v>
      </c>
      <c r="X34" s="1">
        <v>23.749450478652921</v>
      </c>
      <c r="Y34" s="1">
        <v>17.144288639999999</v>
      </c>
      <c r="Z34" s="1">
        <v>21.78003208027874</v>
      </c>
      <c r="AA34" s="1">
        <v>-2.6334427400937739</v>
      </c>
      <c r="AB34" s="1">
        <v>95.8207704402285</v>
      </c>
      <c r="AC34" s="1">
        <v>20.461333254102708</v>
      </c>
      <c r="AD34" s="1">
        <v>19.8</v>
      </c>
      <c r="AE34" s="1">
        <v>-2.561393935272648</v>
      </c>
      <c r="AF34" s="1">
        <v>0.43028002748780259</v>
      </c>
      <c r="AG34" s="1">
        <v>0</v>
      </c>
      <c r="AH34" s="1">
        <v>-0.57296429953725647</v>
      </c>
      <c r="AI34" s="1">
        <v>3.3668571839076198</v>
      </c>
      <c r="AJ34" s="1">
        <v>0</v>
      </c>
      <c r="AK34" s="1">
        <v>24.788511917572499</v>
      </c>
      <c r="AL34" s="1">
        <v>19.8</v>
      </c>
      <c r="AM34" s="1">
        <v>-0.18633390278841841</v>
      </c>
      <c r="AN34" s="1">
        <v>2.4864338911060049</v>
      </c>
      <c r="AO34" s="1">
        <v>0</v>
      </c>
      <c r="AP34" s="1">
        <v>-0.60929997116433487</v>
      </c>
      <c r="AQ34" s="1">
        <v>3.2985801835848578</v>
      </c>
    </row>
    <row r="35" spans="3:43" ht="13" customHeight="1">
      <c r="C35" s="24">
        <v>22</v>
      </c>
      <c r="D35" s="24">
        <v>49.8</v>
      </c>
      <c r="E35" s="1">
        <v>0.25559999999999999</v>
      </c>
      <c r="H35" s="24">
        <v>22.3</v>
      </c>
      <c r="L35" s="1">
        <v>0.55000000000000004</v>
      </c>
      <c r="M35" s="1">
        <v>1</v>
      </c>
      <c r="S35" s="1">
        <v>-8.8000000000000007</v>
      </c>
      <c r="X35" s="1">
        <v>23.969756307812229</v>
      </c>
      <c r="Y35" s="1">
        <v>17.153051680000001</v>
      </c>
      <c r="Z35" s="1">
        <v>21.905436481511451</v>
      </c>
      <c r="AA35" s="1">
        <v>-2.6406312396579881</v>
      </c>
      <c r="AB35" s="1">
        <v>95.927790277461327</v>
      </c>
      <c r="AC35" s="1">
        <v>21.418742454322651</v>
      </c>
      <c r="AD35" s="1">
        <v>19.8</v>
      </c>
      <c r="AE35" s="1">
        <v>-1.555272400937421</v>
      </c>
      <c r="AF35" s="1">
        <v>0.1247699240152928</v>
      </c>
      <c r="AG35" s="1">
        <v>0</v>
      </c>
      <c r="AH35" s="1">
        <v>-0.38845287567542192</v>
      </c>
      <c r="AI35" s="1">
        <v>3.4386662796742038</v>
      </c>
      <c r="AJ35" s="1">
        <v>0</v>
      </c>
      <c r="AK35" s="1">
        <v>25.543958605975199</v>
      </c>
      <c r="AL35" s="1">
        <v>19.8</v>
      </c>
      <c r="AM35" s="1">
        <v>0.48354068633810482</v>
      </c>
      <c r="AN35" s="1">
        <v>2.402296749472661</v>
      </c>
      <c r="AO35" s="1">
        <v>0</v>
      </c>
      <c r="AP35" s="1">
        <v>-0.50211349003390515</v>
      </c>
      <c r="AQ35" s="1">
        <v>3.3608168537126422</v>
      </c>
    </row>
    <row r="36" spans="3:43" ht="13" customHeight="1">
      <c r="C36" s="24">
        <v>21.9</v>
      </c>
      <c r="D36" s="24">
        <v>49.8</v>
      </c>
      <c r="E36" s="1">
        <v>0.36399999999999999</v>
      </c>
      <c r="H36" s="24">
        <v>22.3</v>
      </c>
      <c r="L36" s="1">
        <v>0.55000000000000004</v>
      </c>
      <c r="M36" s="1">
        <v>1</v>
      </c>
      <c r="S36" s="1">
        <v>-7.7</v>
      </c>
      <c r="X36" s="1">
        <v>23.698551133357171</v>
      </c>
      <c r="Y36" s="1">
        <v>17.0588096</v>
      </c>
      <c r="Z36" s="1">
        <v>21.755668217110429</v>
      </c>
      <c r="AA36" s="1">
        <v>-2.666424972644581</v>
      </c>
      <c r="AB36" s="1">
        <v>96.294865575784883</v>
      </c>
      <c r="AC36" s="1">
        <v>20.63516854191781</v>
      </c>
      <c r="AD36" s="1">
        <v>19.71</v>
      </c>
      <c r="AE36" s="1">
        <v>-2.3247387215744348</v>
      </c>
      <c r="AF36" s="1">
        <v>0.40602975074748499</v>
      </c>
      <c r="AG36" s="1">
        <v>0</v>
      </c>
      <c r="AH36" s="1">
        <v>-0.53001338235397666</v>
      </c>
      <c r="AI36" s="1">
        <v>3.3752473821397841</v>
      </c>
      <c r="AJ36" s="1">
        <v>0</v>
      </c>
      <c r="AK36" s="1">
        <v>24.92483426321245</v>
      </c>
      <c r="AL36" s="1">
        <v>19.71</v>
      </c>
      <c r="AM36" s="1">
        <v>-1.9101624554104229E-2</v>
      </c>
      <c r="AN36" s="1">
        <v>2.5118933009873019</v>
      </c>
      <c r="AO36" s="1">
        <v>0</v>
      </c>
      <c r="AP36" s="1">
        <v>-0.58414089338546671</v>
      </c>
      <c r="AQ36" s="1">
        <v>3.306998302708231</v>
      </c>
    </row>
    <row r="37" spans="3:43" ht="13" customHeight="1">
      <c r="C37" s="24">
        <v>22</v>
      </c>
      <c r="D37" s="24">
        <v>49.9</v>
      </c>
      <c r="E37" s="1">
        <v>0.40210000000000001</v>
      </c>
      <c r="H37" s="24">
        <v>22.3</v>
      </c>
      <c r="L37" s="1">
        <v>0.55000000000000004</v>
      </c>
      <c r="M37" s="1">
        <v>1</v>
      </c>
      <c r="S37" s="1">
        <v>-7.7</v>
      </c>
      <c r="X37" s="1">
        <v>23.757487103903269</v>
      </c>
      <c r="Y37" s="1">
        <v>17.15483588</v>
      </c>
      <c r="Z37" s="1">
        <v>21.79223433041863</v>
      </c>
      <c r="AA37" s="1">
        <v>-2.6327451740597092</v>
      </c>
      <c r="AB37" s="1">
        <v>95.810274019462938</v>
      </c>
      <c r="AC37" s="1">
        <v>20.495817887798111</v>
      </c>
      <c r="AD37" s="1">
        <v>19.8</v>
      </c>
      <c r="AE37" s="1">
        <v>-2.5254094292651481</v>
      </c>
      <c r="AF37" s="1">
        <v>0.41940038579840322</v>
      </c>
      <c r="AG37" s="1">
        <v>0</v>
      </c>
      <c r="AH37" s="1">
        <v>-0.56527699228221517</v>
      </c>
      <c r="AI37" s="1">
        <v>3.3685322273869098</v>
      </c>
      <c r="AJ37" s="1">
        <v>0</v>
      </c>
      <c r="AK37" s="1">
        <v>24.8155891061093</v>
      </c>
      <c r="AL37" s="1">
        <v>19.8</v>
      </c>
      <c r="AM37" s="1">
        <v>-0.16242596647713681</v>
      </c>
      <c r="AN37" s="1">
        <v>2.4834251743706499</v>
      </c>
      <c r="AO37" s="1">
        <v>0</v>
      </c>
      <c r="AP37" s="1">
        <v>-0.60481312938914</v>
      </c>
      <c r="AQ37" s="1">
        <v>3.300260877704257</v>
      </c>
    </row>
    <row r="38" spans="3:43" ht="13" customHeight="1">
      <c r="C38" s="24">
        <v>22</v>
      </c>
      <c r="D38" s="24">
        <v>49.8</v>
      </c>
      <c r="E38" s="1">
        <v>0.38140000000000002</v>
      </c>
      <c r="H38" s="24">
        <v>22.3</v>
      </c>
      <c r="L38" s="1">
        <v>0.55000000000000004</v>
      </c>
      <c r="M38" s="1">
        <v>1</v>
      </c>
      <c r="S38" s="1">
        <v>-8.1999999999999993</v>
      </c>
      <c r="X38" s="1">
        <v>23.783048201975259</v>
      </c>
      <c r="Y38" s="1">
        <v>17.145855919999999</v>
      </c>
      <c r="Z38" s="1">
        <v>21.807485700029719</v>
      </c>
      <c r="AA38" s="1">
        <v>-2.636710239895689</v>
      </c>
      <c r="AB38" s="1">
        <v>95.869674555525165</v>
      </c>
      <c r="AC38" s="1">
        <v>20.61048781034798</v>
      </c>
      <c r="AD38" s="1">
        <v>19.8</v>
      </c>
      <c r="AE38" s="1">
        <v>-2.410880666591587</v>
      </c>
      <c r="AF38" s="1">
        <v>0.38468019041912938</v>
      </c>
      <c r="AG38" s="1">
        <v>0</v>
      </c>
      <c r="AH38" s="1">
        <v>-0.54707069874607372</v>
      </c>
      <c r="AI38" s="1">
        <v>3.3851307614937061</v>
      </c>
      <c r="AJ38" s="1">
        <v>0</v>
      </c>
      <c r="AK38" s="1">
        <v>24.9053892488879</v>
      </c>
      <c r="AL38" s="1">
        <v>19.8</v>
      </c>
      <c r="AM38" s="1">
        <v>-8.6092464396707466E-2</v>
      </c>
      <c r="AN38" s="1">
        <v>2.474151304324999</v>
      </c>
      <c r="AO38" s="1">
        <v>0</v>
      </c>
      <c r="AP38" s="1">
        <v>-0.59429124834805513</v>
      </c>
      <c r="AQ38" s="1">
        <v>3.312445644476564</v>
      </c>
    </row>
  </sheetData>
  <phoneticPr fontId="2"/>
  <conditionalFormatting sqref="A7">
    <cfRule type="expression" dxfId="5" priority="5" stopIfTrue="1">
      <formula>$A$6="Input directly"</formula>
    </cfRule>
    <cfRule type="expression" dxfId="4" priority="6">
      <formula>$A$6="Estimating by albedo"</formula>
    </cfRule>
  </conditionalFormatting>
  <conditionalFormatting sqref="A3:F7">
    <cfRule type="expression" dxfId="3" priority="3">
      <formula>$A$2="Exclude"</formula>
    </cfRule>
  </conditionalFormatting>
  <conditionalFormatting sqref="C7">
    <cfRule type="expression" dxfId="2" priority="4">
      <formula>$A$6="Input directly"</formula>
    </cfRule>
  </conditionalFormatting>
  <conditionalFormatting sqref="G2:K2">
    <cfRule type="expression" dxfId="1" priority="1">
      <formula>$A$2=Exclude</formula>
    </cfRule>
    <cfRule type="expression" dxfId="0" priority="2">
      <formula>$A$2="Exclude"</formula>
    </cfRule>
  </conditionalFormatting>
  <dataValidations count="9">
    <dataValidation type="list" allowBlank="1" showInputMessage="1" showErrorMessage="1" sqref="A2" xr:uid="{00000000-0002-0000-0600-000000000000}">
      <formula1>"Include,Exclude"</formula1>
    </dataValidation>
    <dataValidation type="list" allowBlank="1" showInputMessage="1" showErrorMessage="1" sqref="A6" xr:uid="{00000000-0002-0000-0600-000001000000}">
      <formula1>"Input directly,Estimate by albedo"</formula1>
    </dataValidation>
    <dataValidation type="list" allowBlank="1" showInputMessage="1" showErrorMessage="1" sqref="G7" xr:uid="{00000000-0002-0000-0600-000002000000}">
      <formula1>"Ld and Lu,Mean radiant temp"</formula1>
    </dataValidation>
    <dataValidation type="list" allowBlank="1" showInputMessage="1" showErrorMessage="1" sqref="G6" xr:uid="{00000000-0002-0000-0600-000003000000}">
      <formula1>"Relative humidity,Wet-bulb temp,Humidity ratio,Vapor pressure"</formula1>
    </dataValidation>
    <dataValidation type="list" allowBlank="1" showInputMessage="1" showErrorMessage="1" sqref="L3" xr:uid="{00000000-0002-0000-0600-000004000000}">
      <formula1>"Input directly,Two-node model"</formula1>
    </dataValidation>
    <dataValidation type="list" allowBlank="1" showInputMessage="1" showErrorMessage="1" sqref="G5" xr:uid="{00000000-0002-0000-0600-000005000000}">
      <formula1>"Two-node model, Kuwabara's formula"</formula1>
    </dataValidation>
    <dataValidation type="list" allowBlank="1" showInputMessage="1" showErrorMessage="1" sqref="A5" xr:uid="{00000000-0002-0000-0600-000006000000}">
      <formula1>"+14,+13,+12:45,+12,+11:30,+11,+10:30,+10,+9:30,+9,+8:45,+8,+7,+6:30,+6,+5:45,+5:30,+5,+4:30,+4,+3:30,+3,+2,+1,0,-1,-2,-3,-3:30,-4,-4:30,-5,-6,-7,-8,-9,-9:30,-10,-11,-12"</formula1>
    </dataValidation>
    <dataValidation type="list" allowBlank="1" showInputMessage="1" showErrorMessage="1" sqref="B4" xr:uid="{00000000-0002-0000-0600-000007000000}">
      <formula1>"E,W"</formula1>
    </dataValidation>
    <dataValidation type="list" allowBlank="1" showInputMessage="1" showErrorMessage="1" sqref="B3" xr:uid="{00000000-0002-0000-0600-000008000000}">
      <formula1>"N,S"</formula1>
    </dataValidation>
  </dataValidations>
  <pageMargins left="0.7" right="0.7" top="0.75" bottom="0.75" header="0.51200000000000001" footer="0.51200000000000001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Data</vt:lpstr>
      <vt:lpstr>Sample results 1</vt:lpstr>
      <vt:lpstr>Sample results 2</vt:lpstr>
      <vt:lpstr>Sample results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Kazuo N.</dc:creator>
  <cp:lastModifiedBy>NAGANO Kazuo</cp:lastModifiedBy>
  <cp:lastPrinted>2011-08-26T11:52:49Z</cp:lastPrinted>
  <dcterms:created xsi:type="dcterms:W3CDTF">2000-11-10T07:20:56Z</dcterms:created>
  <dcterms:modified xsi:type="dcterms:W3CDTF">2026-06-06T07:48:14Z</dcterms:modified>
</cp:coreProperties>
</file>